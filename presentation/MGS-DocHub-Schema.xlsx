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ริ่มที่นี่" sheetId="1" state="visible" r:id="rId1"/>
    <sheet name="รายการเลือก (ระบบ)" sheetId="2" state="hidden" r:id="rId2"/>
    <sheet name="สารบัญตาราง" sheetId="3" state="visible" r:id="rId3"/>
    <sheet name="พจนานุกรมข้อมูล" sheetId="4" state="visible" r:id="rId4"/>
    <sheet name="ขั้นตอนงาน" sheetId="5" state="visible" r:id="rId5"/>
    <sheet name="เอกสารที่ต้องมี" sheetId="6" state="visible" r:id="rId6"/>
    <sheet name="กฎตรวจสอบ" sheetId="7" state="visible" r:id="rId7"/>
    <sheet name="สิทธิ์แต่ละแผนก" sheetId="8" state="visible" r:id="rId8"/>
    <sheet name="การแจ้งเตือน" sheetId="9" state="visible" r:id="rId9"/>
    <sheet name="สถานะ" sheetId="10" state="visible" r:id="rId10"/>
    <sheet name="ค่าตั้งต้น" sheetId="11" state="visible" r:id="rId11"/>
    <sheet name="เชื่อมต่อ B1" sheetId="12" state="visible" r:id="rId12"/>
    <sheet name="ประเด็นค้าง" sheetId="13" state="visible" r:id="rId13"/>
  </sheets>
  <definedNames>
    <definedName name="_xlnm._FilterDatabase" localSheetId="2" hidden="1">'สารบัญตาราง'!$A$4:$G$24</definedName>
    <definedName name="_xlnm._FilterDatabase" localSheetId="3" hidden="1">'พจนานุกรมข้อมูล'!$A$4:$I$394</definedName>
    <definedName name="_xlnm._FilterDatabase" localSheetId="6" hidden="1">'กฎตรวจสอบ'!$A$4:$H$48</definedName>
    <definedName name="_xlnm._FilterDatabase" localSheetId="9" hidden="1">'สถานะ'!$A$4:$F$36</definedName>
    <definedName name="_xlnm._FilterDatabase" localSheetId="10" hidden="1">'ค่าตั้งต้น'!$A$4:$F$46</definedName>
    <definedName name="_xlnm._FilterDatabase" localSheetId="12" hidden="1">'ประเด็นค้าง'!$A$4:$H$45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17211D"/>
      <sz val="15"/>
    </font>
    <font>
      <name val="Arial"/>
      <i val="1"/>
      <color rgb="0048544C"/>
      <sz val="10"/>
    </font>
    <font>
      <name val="Arial"/>
      <b val="1"/>
      <color rgb="0017211D"/>
      <sz val="12"/>
    </font>
    <font>
      <name val="Arial"/>
      <b val="1"/>
      <color rgb="0017211D"/>
      <sz val="10"/>
    </font>
    <font>
      <name val="Arial"/>
      <color rgb="0017211D"/>
      <sz val="10"/>
    </font>
    <font>
      <name val="Arial"/>
      <b val="1"/>
      <color rgb="00FFFFFF"/>
      <sz val="10"/>
    </font>
    <font>
      <name val="Arial"/>
      <b val="1"/>
      <color rgb="0017211D"/>
      <sz val="11"/>
    </font>
    <font>
      <name val="Arial"/>
      <b val="1"/>
      <color rgb="00A02B30"/>
      <sz val="10"/>
    </font>
    <font>
      <name val="Arial"/>
      <color rgb="00A02B30"/>
      <sz val="10"/>
    </font>
    <font>
      <name val="Arial"/>
      <color rgb="002C6E49"/>
      <sz val="10"/>
    </font>
    <font>
      <name val="Arial"/>
      <color rgb="0017211D"/>
      <sz val="9"/>
    </font>
  </fonts>
  <fills count="8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2F3F1"/>
      </patternFill>
    </fill>
    <fill>
      <patternFill patternType="solid">
        <fgColor rgb="00E8F3FF"/>
      </patternFill>
    </fill>
    <fill>
      <patternFill patternType="solid">
        <fgColor rgb="00FDEAEA"/>
      </patternFill>
    </fill>
    <fill>
      <patternFill patternType="solid">
        <fgColor rgb="001F3D33"/>
      </patternFill>
    </fill>
    <fill>
      <patternFill patternType="solid">
        <fgColor rgb="00E6F1EA"/>
      </patternFill>
    </fill>
  </fills>
  <borders count="6">
    <border>
      <left/>
      <right/>
      <top/>
      <bottom/>
      <diagonal/>
    </border>
    <border>
      <left style="thin">
        <color rgb="00C9D2CC"/>
      </left>
      <right style="thin">
        <color rgb="00C9D2CC"/>
      </right>
      <top style="thin">
        <color rgb="00C9D2CC"/>
      </top>
      <bottom style="thin">
        <color rgb="00C9D2CC"/>
      </bottom>
    </border>
    <border>
      <left/>
      <right/>
      <top style="thin">
        <color rgb="00C9D2CC"/>
      </top>
      <bottom/>
      <diagonal/>
    </border>
    <border>
      <left/>
      <right style="thin">
        <color rgb="00C9D2CC"/>
      </right>
      <top style="thin">
        <color rgb="00C9D2CC"/>
      </top>
      <bottom/>
      <diagonal/>
    </border>
    <border>
      <left/>
      <right/>
      <top style="thin">
        <color rgb="00C9D2CC"/>
      </top>
      <bottom style="thin">
        <color rgb="00C9D2CC"/>
      </bottom>
      <diagonal/>
    </border>
    <border>
      <left/>
      <right style="thin">
        <color rgb="00C9D2CC"/>
      </right>
      <top style="thin">
        <color rgb="00C9D2CC"/>
      </top>
      <bottom style="thin">
        <color rgb="00C9D2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left" vertical="top" wrapText="1"/>
    </xf>
    <xf numFmtId="0" fontId="1" fillId="0" borderId="0" pivotButton="0" quotePrefix="0" xfId="0"/>
    <xf numFmtId="0" fontId="7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6731C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6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MGS Document Hub — โครงสร้างระบบหลังบ้าน</t>
        </is>
      </c>
    </row>
    <row r="2" ht="30" customHeight="1">
      <c r="A2" s="2" t="inlineStr">
        <is>
          <t>ไฟล์นี้คือโครงสร้างหลังบ้านทั้งหมดในที่เดียว สำหรับให้ทีมตรวจและแก้ก่อนเริ่มสร้างจริง · แก้ในไฟล์นี้ได้เลย แล้วส่งกลับมา ระบบจะสร้างตามไฟล์นี้</t>
        </is>
      </c>
    </row>
    <row r="4">
      <c r="A4" s="3" t="inlineStr">
        <is>
          <t>สีในไฟล์นี้หมายถึงอะไร</t>
        </is>
      </c>
    </row>
    <row r="5" ht="28" customHeight="1">
      <c r="A5" s="4" t="inlineStr">
        <is>
          <t>เหลือง = แก้ได้</t>
        </is>
      </c>
      <c r="B5" s="5" t="inlineStr">
        <is>
          <t>ช่องที่ตั้งใจให้ทีมแก้ — เกณฑ์ SLA อัตราภาษี วงเงินอนุมัติ ชื่อฟิลด์ ฯลฯ</t>
        </is>
      </c>
    </row>
    <row r="6" ht="28" customHeight="1">
      <c r="A6" s="6" t="inlineStr">
        <is>
          <t>เทา = อ้างอิง</t>
        </is>
      </c>
      <c r="B6" s="5" t="inlineStr">
        <is>
          <t>ค่าที่ระบบใช้เป็นคีย์หรือคำนวณเอง แก้ได้แต่ต้องบอกก่อน เพราะกระทบโค้ด</t>
        </is>
      </c>
    </row>
    <row r="7" ht="28" customHeight="1">
      <c r="A7" s="7" t="inlineStr">
        <is>
          <t>ฟ้า = เพิ่มใหม่ล่าสุด</t>
        </is>
      </c>
      <c r="B7" s="5" t="inlineStr">
        <is>
          <t>ตาราง Price_Requests / Quotations / Payment_Requests / Doc_Bundles และคอลัมน์เรื่องซื้อเงินสด-ไดรฟ์กลาง-รวมไฟล์ ที่เพิ่งเพิ่ม ยังไม่ผ่านตาทีม</t>
        </is>
      </c>
    </row>
    <row r="8" ht="28" customHeight="1">
      <c r="A8" s="8" t="inlineStr">
        <is>
          <t>แดง = ต้องตัดสินใจ</t>
        </is>
      </c>
      <c r="B8" s="5" t="inlineStr">
        <is>
          <t>ตัวเลขที่ผมตั้งค่าเริ่มต้นไว้เอง ต้องให้ทีมยืนยันก่อนขึ้นระบบ</t>
        </is>
      </c>
    </row>
    <row r="10">
      <c r="A10" s="3" t="inlineStr">
        <is>
          <t>แต่ละแท็บใช้ทำอะไร</t>
        </is>
      </c>
    </row>
    <row r="11" ht="30" customHeight="1">
      <c r="A11" s="9" t="inlineStr">
        <is>
          <t>แท็บ</t>
        </is>
      </c>
      <c r="B11" s="9" t="inlineStr">
        <is>
          <t>ใช้ทำอะไร</t>
        </is>
      </c>
      <c r="C11" s="9" t="inlineStr">
        <is>
          <t>ใครควรตรวจ</t>
        </is>
      </c>
    </row>
    <row r="12" ht="26" customHeight="1">
      <c r="A12" s="10" t="inlineStr">
        <is>
          <t>สารบัญตาราง</t>
        </is>
      </c>
      <c r="B12" s="5" t="inlineStr">
        <is>
          <t>รายชื่อตารางทั้งหมด หน้าที่ และจำนวนคอลัมน์ (นับอัตโนมัติ)</t>
        </is>
      </c>
      <c r="C12" s="5" t="inlineStr">
        <is>
          <t>IT + หัวหน้าทุกแผนก</t>
        </is>
      </c>
    </row>
    <row r="13" ht="26" customHeight="1">
      <c r="A13" s="10" t="inlineStr">
        <is>
          <t>พจนานุกรมข้อมูล</t>
        </is>
      </c>
      <c r="B13" s="5" t="inlineStr">
        <is>
          <t>ทุกคอลัมน์ของทุกตาราง — ชนิด บังคับไหม มาจากไหน</t>
        </is>
      </c>
      <c r="C13" s="5" t="inlineStr">
        <is>
          <t>IT + แผนกเจ้าของข้อมูล</t>
        </is>
      </c>
    </row>
    <row r="14" ht="26" customHeight="1">
      <c r="A14" s="10" t="inlineStr">
        <is>
          <t>ขั้นตอนงาน</t>
        </is>
      </c>
      <c r="B14" s="5" t="inlineStr">
        <is>
          <t>17 ขั้นตอน เจ้าของ SLA เฟส — แก้ SLA ได้ที่นี่</t>
        </is>
      </c>
      <c r="C14" s="5" t="inlineStr">
        <is>
          <t>หัวหน้าทุกแผนก</t>
        </is>
      </c>
    </row>
    <row r="15" ht="26" customHeight="1">
      <c r="A15" s="10" t="inlineStr">
        <is>
          <t>เอกสารที่ต้องมี</t>
        </is>
      </c>
      <c r="B15" s="5" t="inlineStr">
        <is>
          <t>เอกสารบังคับต่อ PO ใครเป็นเจ้าของใบไหน</t>
        </is>
      </c>
      <c r="C15" s="5" t="inlineStr">
        <is>
          <t>SR / QC / WH / AC</t>
        </is>
      </c>
    </row>
    <row r="16" ht="26" customHeight="1">
      <c r="A16" s="10" t="inlineStr">
        <is>
          <t>กฎตรวจสอบ</t>
        </is>
      </c>
      <c r="B16" s="5" t="inlineStr">
        <is>
          <t>กฎที่ระบบใช้บล็อก/เตือนก่อนบันทึก — แก้เกณฑ์ได้ (ดูจำนวนจริงในสรุปด้านล่าง)</t>
        </is>
      </c>
      <c r="C16" s="5" t="inlineStr">
        <is>
          <t>AC เป็นหลัก</t>
        </is>
      </c>
    </row>
    <row r="17" ht="26" customHeight="1">
      <c r="A17" s="10" t="inlineStr">
        <is>
          <t>สิทธิ์แต่ละแผนก</t>
        </is>
      </c>
      <c r="B17" s="5" t="inlineStr">
        <is>
          <t>ใครสร้าง/ดู/แก้/อนุมัติอะไรได้</t>
        </is>
      </c>
      <c r="C17" s="5" t="inlineStr">
        <is>
          <t>หัวหน้าทุกแผนก + ผู้ตรวจสอบ</t>
        </is>
      </c>
    </row>
    <row r="18" ht="26" customHeight="1">
      <c r="A18" s="10" t="inlineStr">
        <is>
          <t>การแจ้งเตือน</t>
        </is>
      </c>
      <c r="B18" s="5" t="inlineStr">
        <is>
          <t>เหตุการณ์ไหนแจ้งใคร ช่องทางไหน เมื่อไหร่</t>
        </is>
      </c>
      <c r="C18" s="5" t="inlineStr">
        <is>
          <t>หัวหน้าทุกแผนก</t>
        </is>
      </c>
    </row>
    <row r="19" ht="26" customHeight="1">
      <c r="A19" s="10" t="inlineStr">
        <is>
          <t>สถานะ</t>
        </is>
      </c>
      <c r="B19" s="5" t="inlineStr">
        <is>
          <t>สถานะทั้งหมดของแต่ละเอกสาร และเปลี่ยนไปไหนได้บ้าง</t>
        </is>
      </c>
      <c r="C19" s="5" t="inlineStr">
        <is>
          <t>IT + AC</t>
        </is>
      </c>
    </row>
    <row r="20" ht="26" customHeight="1">
      <c r="A20" s="10" t="inlineStr">
        <is>
          <t>ค่าตั้งต้น</t>
        </is>
      </c>
      <c r="B20" s="5" t="inlineStr">
        <is>
          <t>ตัวเลขทั้งหมดที่ปรับได้อยู่ในแท็บเดียว</t>
        </is>
      </c>
      <c r="C20" s="5" t="inlineStr">
        <is>
          <t>AC + หัวหน้าทุกแผนก</t>
        </is>
      </c>
    </row>
    <row r="21" ht="26" customHeight="1">
      <c r="A21" s="10" t="inlineStr">
        <is>
          <t>เชื่อมต่อ B1</t>
        </is>
      </c>
      <c r="B21" s="5" t="inlineStr">
        <is>
          <t>ฟิลด์ไหนดึงจากตารางไหนของ Business One</t>
        </is>
      </c>
      <c r="C21" s="5" t="inlineStr">
        <is>
          <t>ผู้ดูแล B1</t>
        </is>
      </c>
    </row>
    <row r="22" ht="26" customHeight="1">
      <c r="A22" s="10" t="inlineStr">
        <is>
          <t>ประเด็นค้าง</t>
        </is>
      </c>
      <c r="B22" s="5" t="inlineStr">
        <is>
          <t>สิ่งที่ยังต้องตัดสินใจก่อนขึ้นระบบ พร้อมผู้รับผิดชอบ</t>
        </is>
      </c>
      <c r="C22" s="5" t="inlineStr">
        <is>
          <t>ทุกคน — ดูแท็บนี้ก่อน</t>
        </is>
      </c>
    </row>
    <row r="24">
      <c r="A24" s="3" t="inlineStr">
        <is>
          <t>สรุปตัวเลข ณ ตอนนี้</t>
        </is>
      </c>
    </row>
    <row r="25">
      <c r="A25" s="10" t="inlineStr">
        <is>
          <t>จำนวนตารางทั้งหมด</t>
        </is>
      </c>
      <c r="B25" s="11">
        <f>COUNTA(สารบัญตาราง!$B$5:$B$24)</f>
        <v/>
      </c>
    </row>
    <row r="26">
      <c r="A26" s="10" t="inlineStr">
        <is>
          <t>จำนวนคอลัมน์ทั้งหมด</t>
        </is>
      </c>
      <c r="B26" s="11">
        <f>COUNTA(พจนานุกรมข้อมูล!$B$5:$B$394)</f>
        <v/>
      </c>
    </row>
    <row r="27">
      <c r="A27" s="10" t="inlineStr">
        <is>
          <t>ขั้นตอนงาน</t>
        </is>
      </c>
      <c r="B27" s="11">
        <f>COUNTA(ขั้นตอนงาน!$B$5:$B$21)</f>
        <v/>
      </c>
    </row>
    <row r="28">
      <c r="A28" s="10" t="inlineStr">
        <is>
          <t>เอกสารบังคับต่อ PO</t>
        </is>
      </c>
      <c r="B28" s="11">
        <f>COUNTIF(เอกสารที่ต้องมี!$E$5:$E$13,"บังคับ")</f>
        <v/>
      </c>
    </row>
    <row r="29">
      <c r="A29" s="10" t="inlineStr">
        <is>
          <t>กฎตรวจสอบ</t>
        </is>
      </c>
      <c r="B29" s="11">
        <f>COUNTA(กฎตรวจสอบ!$A$5:$A$48)</f>
        <v/>
      </c>
    </row>
    <row r="30">
      <c r="A30" s="10" t="inlineStr">
        <is>
          <t>ค่าตั้งต้นที่ปรับได้</t>
        </is>
      </c>
      <c r="B30" s="11">
        <f>COUNTA(ค่าตั้งต้น!$A$5:$A$46)</f>
        <v/>
      </c>
    </row>
    <row r="31">
      <c r="A31" s="10" t="inlineStr">
        <is>
          <t>ประเด็นที่ยังรอตัดสินใจ</t>
        </is>
      </c>
      <c r="B31" s="11">
        <f>COUNTIF(ประเด็นค้าง!$G$5:$G$45,"รอตัดสินใจ")</f>
        <v/>
      </c>
    </row>
    <row r="32">
      <c r="A32" s="10" t="inlineStr">
        <is>
          <t>ประเด็นที่ตัดสินใจแล้ว</t>
        </is>
      </c>
      <c r="B32" s="11">
        <f>COUNTIF(ประเด็นค้าง!$G$5:$G$45,"ตัดสินใจแล้ว")</f>
        <v/>
      </c>
    </row>
    <row r="34">
      <c r="A34" s="3" t="inlineStr">
        <is>
          <t>วิธีใช้ไฟล์นี้</t>
        </is>
      </c>
    </row>
    <row r="35" ht="20" customHeight="1">
      <c r="A35" s="5" t="inlineStr">
        <is>
          <t>1. เปิดแท็บ «ประเด็นค้าง» ก่อน — เป็นรายการที่ผมตั้งค่าเริ่มต้นไว้เองและต้องให้ทีมยืนยัน</t>
        </is>
      </c>
      <c r="B35" s="12" t="n"/>
      <c r="C35" s="13" t="n"/>
    </row>
    <row r="36" ht="20" customHeight="1">
      <c r="A36" s="5" t="inlineStr">
        <is>
          <t>2. แต่ละแผนกดูแท็บที่เกี่ยวกับตัวเอง (ดูตารางด้านบนว่าใครควรตรวจแท็บไหน)</t>
        </is>
      </c>
      <c r="B36" s="12" t="n"/>
      <c r="C36" s="13" t="n"/>
    </row>
    <row r="37" ht="20" customHeight="1">
      <c r="A37" s="5" t="inlineStr">
        <is>
          <t>3. แก้ได้เฉพาะช่องพื้นเหลือง · ถ้าจะแก้ช่องเทา ให้เขียนหมายเหตุไว้ในคอลัมน์สุดท้ายของแถวนั้น</t>
        </is>
      </c>
      <c r="B37" s="12" t="n"/>
      <c r="C37" s="13" t="n"/>
    </row>
    <row r="38" ht="20" customHeight="1">
      <c r="A38" s="5" t="inlineStr">
        <is>
          <t>4. ช่องไหนไม่เห็นด้วย ให้พิมพ์ทับได้เลย ไม่ต้องกลัวผิด — ไฟล์นี้มีไว้ให้แก้</t>
        </is>
      </c>
      <c r="B38" s="12" t="n"/>
      <c r="C38" s="13" t="n"/>
    </row>
    <row r="39" ht="20" customHeight="1">
      <c r="A39" s="5" t="inlineStr">
        <is>
          <t>5. ส่งไฟล์กลับมา ระบบจะถูกสร้างตามไฟล์นี้ ไม่ใช่ตามเอกสารเดิม</t>
        </is>
      </c>
      <c r="B39" s="12" t="n"/>
      <c r="C39" s="13" t="n"/>
    </row>
    <row r="41" ht="32" customHeight="1">
      <c r="A41" s="14" t="inlineStr">
        <is>
          <t>สำคัญ: ไฟล์นี้เป็น «ต้นฉบับ» ของโครงสร้างหลังบ้าน — ที่ตกลงกันในไฟล์นี้คือสิ่งที่จะถูกสร้าง ถ้าแก้ในไฟล์นี้แล้วไม่ตรงกับเอกสาร .md ให้ยึดไฟล์นี้</t>
        </is>
      </c>
      <c r="B41" s="12" t="n"/>
      <c r="C41" s="13" t="n"/>
    </row>
  </sheetData>
  <mergeCells count="8">
    <mergeCell ref="A2:F2"/>
    <mergeCell ref="A41:C41"/>
    <mergeCell ref="A36:C36"/>
    <mergeCell ref="A37:C37"/>
    <mergeCell ref="A1:F1"/>
    <mergeCell ref="A39:C39"/>
    <mergeCell ref="A35:C35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D33"/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DTYPE</t>
        </is>
      </c>
      <c r="B1" s="15" t="inlineStr">
        <is>
          <t>YN</t>
        </is>
      </c>
      <c r="C1" s="15" t="inlineStr">
        <is>
          <t>SRC</t>
        </is>
      </c>
      <c r="D1" s="15" t="inlineStr">
        <is>
          <t>DEPT</t>
        </is>
      </c>
      <c r="E1" s="15" t="inlineStr">
        <is>
          <t>PHASE</t>
        </is>
      </c>
      <c r="F1" s="15" t="inlineStr">
        <is>
          <t>SEV</t>
        </is>
      </c>
      <c r="G1" s="15" t="inlineStr">
        <is>
          <t>RULEST</t>
        </is>
      </c>
      <c r="H1" s="15" t="inlineStr">
        <is>
          <t>TBLST</t>
        </is>
      </c>
      <c r="I1" s="15" t="inlineStr">
        <is>
          <t>ISSUEST</t>
        </is>
      </c>
      <c r="J1" s="15" t="inlineStr">
        <is>
          <t>PRIO</t>
        </is>
      </c>
      <c r="K1" s="15" t="inlineStr">
        <is>
          <t>TIER</t>
        </is>
      </c>
    </row>
    <row r="2">
      <c r="A2" t="inlineStr">
        <is>
          <t>UUID</t>
        </is>
      </c>
      <c r="B2" t="inlineStr">
        <is>
          <t>บังคับ</t>
        </is>
      </c>
      <c r="C2" t="inlineStr">
        <is>
          <t>ดึงจาก B1</t>
        </is>
      </c>
      <c r="D2" t="inlineStr">
        <is>
          <t>SR</t>
        </is>
      </c>
      <c r="E2" t="inlineStr">
        <is>
          <t>BUY</t>
        </is>
      </c>
      <c r="F2" t="inlineStr">
        <is>
          <t>บล็อก</t>
        </is>
      </c>
      <c r="G2" t="inlineStr">
        <is>
          <t>ใช้งาน</t>
        </is>
      </c>
      <c r="H2" t="inlineStr">
        <is>
          <t>ยืนยันแล้ว</t>
        </is>
      </c>
      <c r="I2" t="inlineStr">
        <is>
          <t>รอตัดสินใจ</t>
        </is>
      </c>
      <c r="J2" t="inlineStr">
        <is>
          <t>สูง</t>
        </is>
      </c>
      <c r="K2" t="inlineStr">
        <is>
          <t>1 ในเว็บ</t>
        </is>
      </c>
    </row>
    <row r="3">
      <c r="A3" t="inlineStr">
        <is>
          <t>TEXT</t>
        </is>
      </c>
      <c r="B3" t="inlineStr">
        <is>
          <t>ไม่บังคับ</t>
        </is>
      </c>
      <c r="C3" t="inlineStr">
        <is>
          <t>คนกรอก</t>
        </is>
      </c>
      <c r="D3" t="inlineStr">
        <is>
          <t>QC</t>
        </is>
      </c>
      <c r="E3" t="inlineStr">
        <is>
          <t>RECV</t>
        </is>
      </c>
      <c r="F3" t="inlineStr">
        <is>
          <t>เตือน</t>
        </is>
      </c>
      <c r="G3" t="inlineStr">
        <is>
          <t>รอทีมยืนยันเกณฑ์</t>
        </is>
      </c>
      <c r="H3" t="inlineStr">
        <is>
          <t>รอทีมตรวจ</t>
        </is>
      </c>
      <c r="I3" t="inlineStr">
        <is>
          <t>ตัดสินใจแล้ว</t>
        </is>
      </c>
      <c r="J3" t="inlineStr">
        <is>
          <t>กลาง</t>
        </is>
      </c>
      <c r="K3" t="inlineStr">
        <is>
          <t>2 Lark</t>
        </is>
      </c>
    </row>
    <row r="4">
      <c r="A4" t="inlineStr">
        <is>
          <t>NUMBER</t>
        </is>
      </c>
      <c r="C4" t="inlineStr">
        <is>
          <t>ระบบสร้าง/คำนวณ</t>
        </is>
      </c>
      <c r="D4" t="inlineStr">
        <is>
          <t>LS</t>
        </is>
      </c>
      <c r="E4" t="inlineStr">
        <is>
          <t>AP</t>
        </is>
      </c>
      <c r="F4" t="inlineStr">
        <is>
          <t>บันทึกเฉย ๆ</t>
        </is>
      </c>
      <c r="G4" t="inlineStr">
        <is>
          <t>ปิดใช้งาน</t>
        </is>
      </c>
      <c r="H4" t="inlineStr">
        <is>
          <t>เพิ่มใหม่ล่าสุด</t>
        </is>
      </c>
      <c r="I4" t="inlineStr">
        <is>
          <t>ไม่เกี่ยวข้องแล้ว</t>
        </is>
      </c>
      <c r="J4" t="inlineStr">
        <is>
          <t>ต่ำ</t>
        </is>
      </c>
      <c r="K4" t="inlineStr">
        <is>
          <t>3 อีเมล</t>
        </is>
      </c>
    </row>
    <row r="5">
      <c r="A5" t="inlineStr">
        <is>
          <t>DATE</t>
        </is>
      </c>
      <c r="C5" t="inlineStr">
        <is>
          <t>คัดลอกจากเอกสารต้นทาง</t>
        </is>
      </c>
      <c r="D5" t="inlineStr">
        <is>
          <t>WH</t>
        </is>
      </c>
      <c r="E5" t="inlineStr">
        <is>
          <t>PAY</t>
        </is>
      </c>
      <c r="K5" t="inlineStr">
        <is>
          <t>2 Lark + 3 อีเมล</t>
        </is>
      </c>
    </row>
    <row r="6">
      <c r="A6" t="inlineStr">
        <is>
          <t>DATETIME</t>
        </is>
      </c>
      <c r="D6" t="inlineStr">
        <is>
          <t>AC</t>
        </is>
      </c>
      <c r="K6" t="inlineStr">
        <is>
          <t>1 + 2</t>
        </is>
      </c>
    </row>
    <row r="7">
      <c r="A7" t="inlineStr">
        <is>
          <t>BOOLEAN</t>
        </is>
      </c>
      <c r="D7" t="inlineStr">
        <is>
          <t>GM</t>
        </is>
      </c>
      <c r="K7" t="inlineStr">
        <is>
          <t>1 + 2 + 3</t>
        </is>
      </c>
    </row>
    <row r="8">
      <c r="A8" t="inlineStr">
        <is>
          <t>ENUM</t>
        </is>
      </c>
      <c r="D8" t="inlineStr">
        <is>
          <t>IT/แอดมิน</t>
        </is>
      </c>
    </row>
    <row r="9">
      <c r="A9" t="inlineStr">
        <is>
          <t>FILE_ID</t>
        </is>
      </c>
      <c r="D9" t="inlineStr">
        <is>
          <t>ระบบ</t>
        </is>
      </c>
    </row>
    <row r="10">
      <c r="A10" t="inlineStr">
        <is>
          <t>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D33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5" customWidth="1" min="4" max="4"/>
    <col width="15" customWidth="1" min="5" max="5"/>
    <col width="16" customWidth="1" min="6" max="6"/>
    <col width="40" customWidth="1" min="7" max="7"/>
  </cols>
  <sheetData>
    <row r="1" ht="26" customHeight="1">
      <c r="A1" s="1" t="inlineStr">
        <is>
          <t>สารบัญตาราง</t>
        </is>
      </c>
    </row>
    <row r="2" ht="30" customHeight="1">
      <c r="A2" s="2" t="inlineStr">
        <is>
          <t>ตารางทั้งหมดในฐานข้อมูล — คอลัมน์ «จำนวนคอลัมน์» นับจากแท็บพจนานุกรมข้อมูลอัตโนมัติ</t>
        </is>
      </c>
    </row>
    <row r="4" ht="30" customHeight="1">
      <c r="A4" s="16" t="inlineStr">
        <is>
          <t>#</t>
        </is>
      </c>
      <c r="B4" s="16" t="inlineStr">
        <is>
          <t>ตาราง</t>
        </is>
      </c>
      <c r="C4" s="16" t="inlineStr">
        <is>
          <t>หน้าที่</t>
        </is>
      </c>
      <c r="D4" s="16" t="inlineStr">
        <is>
          <t>จำนวนคอลัมน์</t>
        </is>
      </c>
      <c r="E4" s="16" t="inlineStr">
        <is>
          <t>โตเร็วแค่ไหน</t>
        </is>
      </c>
      <c r="F4" s="16" t="inlineStr">
        <is>
          <t>สถานะ</t>
        </is>
      </c>
      <c r="G4" s="16" t="inlineStr">
        <is>
          <t>หมายเหตุ / ที่ทีมอยากแก้</t>
        </is>
      </c>
    </row>
    <row r="5" ht="30" customHeight="1">
      <c r="A5" s="17" t="n">
        <v>1</v>
      </c>
      <c r="B5" s="10" t="inlineStr">
        <is>
          <t>Purchase_Orders</t>
        </is>
      </c>
      <c r="C5" s="5" t="inlineStr">
        <is>
          <t>1 แถว = 1 PO ตั้งแต่เปิดจนปิดบัญชี</t>
        </is>
      </c>
      <c r="D5" s="18">
        <f>COUNTIF(พจนานุกรมข้อมูล!$A$5:$A$394,$B5)</f>
        <v/>
      </c>
      <c r="E5" s="17" t="inlineStr">
        <is>
          <t>~600 แถว/ปี</t>
        </is>
      </c>
      <c r="F5" s="19" t="inlineStr">
        <is>
          <t>ยืนยันแล้ว</t>
        </is>
      </c>
      <c r="G5" s="19" t="inlineStr"/>
    </row>
    <row r="6" ht="30" customHeight="1">
      <c r="A6" s="17" t="n">
        <v>2</v>
      </c>
      <c r="B6" s="10" t="inlineStr">
        <is>
          <t>PO_Payments</t>
        </is>
      </c>
      <c r="C6" s="5" t="inlineStr">
        <is>
          <t>งวดจ่ายของแต่ละ PO (1 PO จ่ายได้หลายงวด)</t>
        </is>
      </c>
      <c r="D6" s="18">
        <f>COUNTIF(พจนานุกรมข้อมูล!$A$5:$A$394,$B6)</f>
        <v/>
      </c>
      <c r="E6" s="17" t="inlineStr">
        <is>
          <t>~900 แถว/ปี</t>
        </is>
      </c>
      <c r="F6" s="19" t="inlineStr">
        <is>
          <t>ยืนยันแล้ว</t>
        </is>
      </c>
      <c r="G6" s="19" t="inlineStr"/>
    </row>
    <row r="7" ht="30" customHeight="1">
      <c r="A7" s="17" t="n">
        <v>3</v>
      </c>
      <c r="B7" s="10" t="inlineStr">
        <is>
          <t>Doc_Checklist</t>
        </is>
      </c>
      <c r="C7" s="5" t="inlineStr">
        <is>
          <t>เอกสารที่ต้องมีต่อ PO และสถานะแต่ละใบ</t>
        </is>
      </c>
      <c r="D7" s="18">
        <f>COUNTIF(พจนานุกรมข้อมูล!$A$5:$A$394,$B7)</f>
        <v/>
      </c>
      <c r="E7" s="17" t="inlineStr">
        <is>
          <t>~4,800 แถว/ปี</t>
        </is>
      </c>
      <c r="F7" s="19" t="inlineStr">
        <is>
          <t>ยืนยันแล้ว</t>
        </is>
      </c>
      <c r="G7" s="19" t="inlineStr"/>
    </row>
    <row r="8" ht="30" customHeight="1">
      <c r="A8" s="17" t="n">
        <v>4</v>
      </c>
      <c r="B8" s="10" t="inlineStr">
        <is>
          <t>Documents</t>
        </is>
      </c>
      <c r="C8" s="5" t="inlineStr">
        <is>
          <t>ไฟล์จริงทุกเวอร์ชันใน Drive</t>
        </is>
      </c>
      <c r="D8" s="18">
        <f>COUNTIF(พจนานุกรมข้อมูล!$A$5:$A$394,$B8)</f>
        <v/>
      </c>
      <c r="E8" s="17" t="inlineStr">
        <is>
          <t>~5,000 แถว/ปี</t>
        </is>
      </c>
      <c r="F8" s="19" t="inlineStr">
        <is>
          <t>ยืนยันแล้ว</t>
        </is>
      </c>
      <c r="G8" s="19" t="inlineStr"/>
    </row>
    <row r="9" ht="30" customHeight="1">
      <c r="A9" s="17" t="n">
        <v>5</v>
      </c>
      <c r="B9" s="10" t="inlineStr">
        <is>
          <t>Approvals</t>
        </is>
      </c>
      <c r="C9" s="5" t="inlineStr">
        <is>
          <t>การอนุมัติและลงนามทุกจุด (PO / จ่าย / เคลม / รหัสสินค้า)</t>
        </is>
      </c>
      <c r="D9" s="18">
        <f>COUNTIF(พจนานุกรมข้อมูล!$A$5:$A$394,$B9)</f>
        <v/>
      </c>
      <c r="E9" s="17" t="inlineStr">
        <is>
          <t>~2,000 แถว/ปี</t>
        </is>
      </c>
      <c r="F9" s="19" t="inlineStr">
        <is>
          <t>ยืนยันแล้ว</t>
        </is>
      </c>
      <c r="G9" s="19" t="inlineStr"/>
    </row>
    <row r="10" ht="30" customHeight="1">
      <c r="A10" s="17" t="n">
        <v>6</v>
      </c>
      <c r="B10" s="10" t="inlineStr">
        <is>
          <t>Stage_Log</t>
        </is>
      </c>
      <c r="C10" s="5" t="inlineStr">
        <is>
          <t>บันทึกทุกการเปลี่ยนสถานะ — เขียนเพิ่มเท่านั้น</t>
        </is>
      </c>
      <c r="D10" s="18">
        <f>COUNTIF(พจนานุกรมข้อมูล!$A$5:$A$394,$B10)</f>
        <v/>
      </c>
      <c r="E10" s="17" t="inlineStr">
        <is>
          <t>~10,200 แถว/ปี</t>
        </is>
      </c>
      <c r="F10" s="19" t="inlineStr">
        <is>
          <t>ยืนยันแล้ว</t>
        </is>
      </c>
      <c r="G10" s="19" t="inlineStr">
        <is>
          <t>ที่มาของสถานะ คอขวด และ KPI ทุกตัว · แยกแท็บต่อปี</t>
        </is>
      </c>
    </row>
    <row r="11" ht="30" customHeight="1">
      <c r="A11" s="17" t="n">
        <v>7</v>
      </c>
      <c r="B11" s="10" t="inlineStr">
        <is>
          <t>Notifications</t>
        </is>
      </c>
      <c r="C11" s="5" t="inlineStr">
        <is>
          <t>คิวแจ้งเตือน Lark / อีเมล</t>
        </is>
      </c>
      <c r="D11" s="18">
        <f>COUNTIF(พจนานุกรมข้อมูล!$A$5:$A$394,$B11)</f>
        <v/>
      </c>
      <c r="E11" s="17" t="inlineStr">
        <is>
          <t>~25,000 แถว/ปี</t>
        </is>
      </c>
      <c r="F11" s="19" t="inlineStr">
        <is>
          <t>ยืนยันแล้ว</t>
        </is>
      </c>
      <c r="G11" s="19" t="inlineStr">
        <is>
          <t>แยกแท็บต่อปี</t>
        </is>
      </c>
    </row>
    <row r="12" ht="30" customHeight="1">
      <c r="A12" s="17" t="n">
        <v>8</v>
      </c>
      <c r="B12" s="10" t="inlineStr">
        <is>
          <t>Issues</t>
        </is>
      </c>
      <c r="C12" s="5" t="inlineStr">
        <is>
          <t>ปัญหาที่ผู้ใช้กดแจ้งจากหน้าจอ</t>
        </is>
      </c>
      <c r="D12" s="18">
        <f>COUNTIF(พจนานุกรมข้อมูล!$A$5:$A$394,$B12)</f>
        <v/>
      </c>
      <c r="E12" s="17" t="inlineStr">
        <is>
          <t>~200 แถว/ปี</t>
        </is>
      </c>
      <c r="F12" s="19" t="inlineStr">
        <is>
          <t>ยืนยันแล้ว</t>
        </is>
      </c>
      <c r="G12" s="19" t="inlineStr"/>
    </row>
    <row r="13" ht="30" customHeight="1">
      <c r="A13" s="17" t="n">
        <v>9</v>
      </c>
      <c r="B13" s="10" t="inlineStr">
        <is>
          <t>Claims</t>
        </is>
      </c>
      <c r="C13" s="5" t="inlineStr">
        <is>
          <t>ใบเคลม/ร้องเรียน ตามฟอร์ม QC-F006</t>
        </is>
      </c>
      <c r="D13" s="18">
        <f>COUNTIF(พจนานุกรมข้อมูล!$A$5:$A$394,$B13)</f>
        <v/>
      </c>
      <c r="E13" s="17" t="inlineStr">
        <is>
          <t>~60 แถว/ปี</t>
        </is>
      </c>
      <c r="F13" s="19" t="inlineStr">
        <is>
          <t>รอทีมตรวจ</t>
        </is>
      </c>
      <c r="G13" s="19" t="inlineStr">
        <is>
          <t>ยังรอฟิลด์จริงของ «ส่วนที่ 3» ในฟอร์ม (หน้า 2–3 เป็นภาพสแกน)</t>
        </is>
      </c>
    </row>
    <row r="14" ht="30" customHeight="1">
      <c r="A14" s="17" t="n">
        <v>10</v>
      </c>
      <c r="B14" s="10" t="inlineStr">
        <is>
          <t>ItemCode_Requests</t>
        </is>
      </c>
      <c r="C14" s="5" t="inlineStr">
        <is>
          <t>ใบขอเปิดรหัสสินค้าใหม่</t>
        </is>
      </c>
      <c r="D14" s="18">
        <f>COUNTIF(พจนานุกรมข้อมูล!$A$5:$A$394,$B14)</f>
        <v/>
      </c>
      <c r="E14" s="17" t="inlineStr">
        <is>
          <t>~80 แถว/ปี</t>
        </is>
      </c>
      <c r="F14" s="19" t="inlineStr">
        <is>
          <t>รอทีมตรวจ</t>
        </is>
      </c>
      <c r="G14" s="19" t="inlineStr">
        <is>
          <t>รอดูว่ามีฟอร์มควบคุมเดิมอยู่แล้วหรือไม่</t>
        </is>
      </c>
    </row>
    <row r="15" ht="30" customHeight="1">
      <c r="A15" s="20" t="n">
        <v>11</v>
      </c>
      <c r="B15" s="7" t="inlineStr">
        <is>
          <t>Price_Requests</t>
        </is>
      </c>
      <c r="C15" s="21" t="inlineStr">
        <is>
          <t>ใบขอราคา — จุดเริ่มก่อนมี PO</t>
        </is>
      </c>
      <c r="D15" s="18">
        <f>COUNTIF(พจนานุกรมข้อมูล!$A$5:$A$394,$B15)</f>
        <v/>
      </c>
      <c r="E15" s="20" t="inlineStr">
        <is>
          <t>~700 แถว/ปี</t>
        </is>
      </c>
      <c r="F15" s="19" t="inlineStr">
        <is>
          <t>เพิ่มใหม่ล่าสุด</t>
        </is>
      </c>
      <c r="G15" s="19" t="inlineStr">
        <is>
          <t>เพิ่มรอบล่าสุด แก้ปัญหาใบขอราคาดึงไปทำใบเสนอราคาไม่ได้</t>
        </is>
      </c>
    </row>
    <row r="16" ht="30" customHeight="1">
      <c r="A16" s="20" t="n">
        <v>12</v>
      </c>
      <c r="B16" s="7" t="inlineStr">
        <is>
          <t>Quotations</t>
        </is>
      </c>
      <c r="C16" s="21" t="inlineStr">
        <is>
          <t>ใบเสนอราคาจากผู้ขาย (1 ใบขอราคา → หลายใบ)</t>
        </is>
      </c>
      <c r="D16" s="18">
        <f>COUNTIF(พจนานุกรมข้อมูล!$A$5:$A$394,$B16)</f>
        <v/>
      </c>
      <c r="E16" s="20" t="inlineStr">
        <is>
          <t>~1,800 แถว/ปี</t>
        </is>
      </c>
      <c r="F16" s="19" t="inlineStr">
        <is>
          <t>เพิ่มใหม่ล่าสุด</t>
        </is>
      </c>
      <c r="G16" s="19" t="inlineStr">
        <is>
          <t>เพิ่มรอบล่าสุด</t>
        </is>
      </c>
    </row>
    <row r="17" ht="30" customHeight="1">
      <c r="A17" s="17" t="n">
        <v>13</v>
      </c>
      <c r="B17" s="10" t="inlineStr">
        <is>
          <t>Stage_Templates</t>
        </is>
      </c>
      <c r="C17" s="5" t="inlineStr">
        <is>
          <t>นิยามขั้นตอนต่อ module — เพิ่ม module = เพิ่มแถว</t>
        </is>
      </c>
      <c r="D17" s="18">
        <f>COUNTIF(พจนานุกรมข้อมูล!$A$5:$A$394,$B17)</f>
        <v/>
      </c>
      <c r="E17" s="17" t="inlineStr">
        <is>
          <t>~20 แถว/module</t>
        </is>
      </c>
      <c r="F17" s="19" t="inlineStr">
        <is>
          <t>ยืนยันแล้ว</t>
        </is>
      </c>
      <c r="G17" s="19" t="inlineStr"/>
    </row>
    <row r="18" ht="30" customHeight="1">
      <c r="A18" s="17" t="n">
        <v>14</v>
      </c>
      <c r="B18" s="10" t="inlineStr">
        <is>
          <t>Doc_Templates</t>
        </is>
      </c>
      <c r="C18" s="5" t="inlineStr">
        <is>
          <t>นิยามเอกสารที่ต้องมีต่อ module</t>
        </is>
      </c>
      <c r="D18" s="18">
        <f>COUNTIF(พจนานุกรมข้อมูล!$A$5:$A$394,$B18)</f>
        <v/>
      </c>
      <c r="E18" s="17" t="inlineStr">
        <is>
          <t>~10 แถว/module</t>
        </is>
      </c>
      <c r="F18" s="19" t="inlineStr">
        <is>
          <t>ยืนยันแล้ว</t>
        </is>
      </c>
      <c r="G18" s="19" t="inlineStr"/>
    </row>
    <row r="19" ht="30" customHeight="1">
      <c r="A19" s="17" t="n">
        <v>15</v>
      </c>
      <c r="B19" s="10" t="inlineStr">
        <is>
          <t>Users</t>
        </is>
      </c>
      <c r="C19" s="5" t="inlineStr">
        <is>
          <t>ผู้ใช้ แผนก สิทธิ์ และ lark_user_id</t>
        </is>
      </c>
      <c r="D19" s="18">
        <f>COUNTIF(พจนานุกรมข้อมูล!$A$5:$A$394,$B19)</f>
        <v/>
      </c>
      <c r="E19" s="17" t="inlineStr">
        <is>
          <t>~40 แถว</t>
        </is>
      </c>
      <c r="F19" s="19" t="inlineStr">
        <is>
          <t>รอทีมตรวจ</t>
        </is>
      </c>
      <c r="G19" s="19" t="inlineStr">
        <is>
          <t>ต้องมี lark_user_id ครบทุกคน เพราะใช้ Lark ช่องทางเดียว</t>
        </is>
      </c>
    </row>
    <row r="20" ht="30" customHeight="1">
      <c r="A20" s="17" t="n">
        <v>16</v>
      </c>
      <c r="B20" s="10" t="inlineStr">
        <is>
          <t>Suppliers</t>
        </is>
      </c>
      <c r="C20" s="5" t="inlineStr">
        <is>
          <t>ผู้ขาย — บางมาก เพราะ master จริงอยู่ใน B1</t>
        </is>
      </c>
      <c r="D20" s="18">
        <f>COUNTIF(พจนานุกรมข้อมูล!$A$5:$A$394,$B20)</f>
        <v/>
      </c>
      <c r="E20" s="17" t="inlineStr">
        <is>
          <t>~150 แถว</t>
        </is>
      </c>
      <c r="F20" s="19" t="inlineStr">
        <is>
          <t>ยืนยันแล้ว</t>
        </is>
      </c>
      <c r="G20" s="19" t="inlineStr"/>
    </row>
    <row r="21" ht="30" customHeight="1">
      <c r="A21" s="17" t="n">
        <v>17</v>
      </c>
      <c r="B21" s="10" t="inlineStr">
        <is>
          <t>Config / Lookups</t>
        </is>
      </c>
      <c r="C21" s="5" t="inlineStr">
        <is>
          <t>ค่าตั้งต้นและรายการ dropdown</t>
        </is>
      </c>
      <c r="D21" s="18">
        <f>COUNTIF(พจนานุกรมข้อมูล!$A$5:$A$394,$B21)</f>
        <v/>
      </c>
      <c r="E21" s="17" t="inlineStr">
        <is>
          <t>~120 แถว</t>
        </is>
      </c>
      <c r="F21" s="19" t="inlineStr">
        <is>
          <t>ยืนยันแล้ว</t>
        </is>
      </c>
      <c r="G21" s="19" t="inlineStr">
        <is>
          <t>จริง ๆ เป็น 2 แท็บ (Config กับ Lookups) นับรวมเป็น 1 รายการ</t>
        </is>
      </c>
    </row>
    <row r="22" ht="30" customHeight="1">
      <c r="A22" s="17" t="n">
        <v>18</v>
      </c>
      <c r="B22" s="10" t="inlineStr">
        <is>
          <t>Sync_Log</t>
        </is>
      </c>
      <c r="C22" s="5" t="inlineStr">
        <is>
          <t>บันทึกทุกรอบที่ดึงข้อมูลจาก B1</t>
        </is>
      </c>
      <c r="D22" s="18">
        <f>COUNTIF(พจนานุกรมข้อมูล!$A$5:$A$394,$B22)</f>
        <v/>
      </c>
      <c r="E22" s="17" t="inlineStr">
        <is>
          <t>~17,500 แถว/ปี</t>
        </is>
      </c>
      <c r="F22" s="19" t="inlineStr">
        <is>
          <t>ยืนยันแล้ว</t>
        </is>
      </c>
      <c r="G22" s="19" t="inlineStr">
        <is>
          <t>แยกแท็บต่อปี</t>
        </is>
      </c>
    </row>
    <row r="23" ht="30" customHeight="1">
      <c r="A23" s="20" t="n">
        <v>19</v>
      </c>
      <c r="B23" s="7" t="inlineStr">
        <is>
          <t>Payment_Requests</t>
        </is>
      </c>
      <c r="C23" s="21" t="inlineStr">
        <is>
          <t>คำขอทำจ่ายที่จัดซื้อส่งให้หัวหน้า (1 งวดขอได้หลายรอบ)</t>
        </is>
      </c>
      <c r="D23" s="18">
        <f>COUNTIF(พจนานุกรมข้อมูล!$A$5:$A$394,$B23)</f>
        <v/>
      </c>
      <c r="E23" s="20" t="inlineStr">
        <is>
          <t>~1,100 แถว/ปี</t>
        </is>
      </c>
      <c r="F23" s="19" t="inlineStr">
        <is>
          <t>เพิ่มใหม่ล่าสุด</t>
        </is>
      </c>
      <c r="G23" s="19" t="inlineStr">
        <is>
          <t>เพิ่มรอบล่าสุด — ยอดเงินและ Effective date เป็นช่องบังคับ</t>
        </is>
      </c>
    </row>
    <row r="24" ht="30" customHeight="1">
      <c r="A24" s="20" t="n">
        <v>20</v>
      </c>
      <c r="B24" s="7" t="inlineStr">
        <is>
          <t>Doc_Bundles</t>
        </is>
      </c>
      <c r="C24" s="21" t="inlineStr">
        <is>
          <t>ชุดเอกสารรวมเล่มที่สร้างอัตโนมัติเมื่อปิดรายการ</t>
        </is>
      </c>
      <c r="D24" s="18">
        <f>COUNTIF(พจนานุกรมข้อมูล!$A$5:$A$394,$B24)</f>
        <v/>
      </c>
      <c r="E24" s="20" t="inlineStr">
        <is>
          <t>~660 แถว/ปี</t>
        </is>
      </c>
      <c r="F24" s="19" t="inlineStr">
        <is>
          <t>เพิ่มใหม่ล่าสุด</t>
        </is>
      </c>
      <c r="G24" s="19" t="inlineStr">
        <is>
          <t>เพิ่มรอบล่าสุด — 1 รายการ = 1 ชุด</t>
        </is>
      </c>
    </row>
    <row r="26" ht="30" customHeight="1">
      <c r="B26" s="22" t="inlineStr">
        <is>
          <t>หมายเหตุ: เอกสาร .md ระบุจำนวนตารางไม่ตรงกัน (07 บอก 15, 09 บอก 16, 11 บอก 17) เพราะเขียนคนละรอบ — ตัวเลขจริงคือ 20 รายการตามตารางนี้ (เพิ่ม Payment_Requests และ Doc_Bundles รอบล่าสุด) ให้ยึดไฟล์นี้</t>
        </is>
      </c>
      <c r="C26" s="12" t="n"/>
      <c r="D26" s="12" t="n"/>
      <c r="E26" s="12" t="n"/>
      <c r="F26" s="12" t="n"/>
      <c r="G26" s="13" t="n"/>
    </row>
  </sheetData>
  <autoFilter ref="A4:G24"/>
  <mergeCells count="3">
    <mergeCell ref="A2:G2"/>
    <mergeCell ref="B26:G26"/>
    <mergeCell ref="A1:G1"/>
  </mergeCells>
  <dataValidations count="1">
    <dataValidation sqref="F5:F24" showDropDown="0" showInputMessage="0" showErrorMessage="0" allowBlank="1" type="list">
      <formula1>'รายการเลือก (ระบบ)'!$H$2:$H$4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D33"/>
    <outlinePr summaryBelow="1" summaryRight="1"/>
    <pageSetUpPr/>
  </sheetPr>
  <dimension ref="A1:I39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1" customWidth="1" min="4" max="4"/>
    <col width="8" customWidth="1" min="5" max="5"/>
    <col width="30" customWidth="1" min="6" max="6"/>
    <col width="44" customWidth="1" min="7" max="7"/>
    <col width="20" customWidth="1" min="8" max="8"/>
    <col width="30" customWidth="1" min="9" max="9"/>
  </cols>
  <sheetData>
    <row r="1" ht="26" customHeight="1">
      <c r="A1" s="1" t="inlineStr">
        <is>
          <t>พจนานุกรมข้อมูล</t>
        </is>
      </c>
    </row>
    <row r="2" ht="30" customHeight="1">
      <c r="A2" s="2" t="inlineStr">
        <is>
          <t>ทุกคอลัมน์ของทุกตาราง · «มาจากไหน» สำคัญที่สุด — บอกว่าคนต้องพิมพ์เองหรือระบบดึงให้</t>
        </is>
      </c>
    </row>
    <row r="4" ht="30" customHeight="1">
      <c r="A4" s="16" t="inlineStr">
        <is>
          <t>ตาราง</t>
        </is>
      </c>
      <c r="B4" s="16" t="inlineStr">
        <is>
          <t>คอลัมน์</t>
        </is>
      </c>
      <c r="C4" s="16" t="inlineStr">
        <is>
          <t>ชนิด</t>
        </is>
      </c>
      <c r="D4" s="16" t="inlineStr">
        <is>
          <t>บังคับ</t>
        </is>
      </c>
      <c r="E4" s="16" t="inlineStr">
        <is>
          <t>คีย์</t>
        </is>
      </c>
      <c r="F4" s="16" t="inlineStr">
        <is>
          <t>ค่าที่เป็นไปได้ / รูปแบบ</t>
        </is>
      </c>
      <c r="G4" s="16" t="inlineStr">
        <is>
          <t>คำอธิบาย</t>
        </is>
      </c>
      <c r="H4" s="16" t="inlineStr">
        <is>
          <t>มาจากไหน</t>
        </is>
      </c>
      <c r="I4" s="16" t="inlineStr">
        <is>
          <t>หมายเหตุของทีม</t>
        </is>
      </c>
    </row>
    <row r="5">
      <c r="A5" s="10" t="inlineStr">
        <is>
          <t>Purchase_Orders</t>
        </is>
      </c>
      <c r="B5" s="5" t="inlineStr">
        <is>
          <t>po_id</t>
        </is>
      </c>
      <c r="C5" s="17" t="inlineStr">
        <is>
          <t>UUID</t>
        </is>
      </c>
      <c r="D5" s="17" t="inlineStr">
        <is>
          <t>บังคับ</t>
        </is>
      </c>
      <c r="E5" s="18" t="inlineStr">
        <is>
          <t>PK</t>
        </is>
      </c>
      <c r="F5" s="5" t="inlineStr">
        <is>
          <t>UUID</t>
        </is>
      </c>
      <c r="G5" s="5" t="inlineStr">
        <is>
          <t>คีย์ภายใน ไม่แสดงให้ผู้ใช้เห็น</t>
        </is>
      </c>
      <c r="H5" s="17" t="inlineStr">
        <is>
          <t>ระบบสร้าง/คำนวณ</t>
        </is>
      </c>
      <c r="I5" s="19" t="inlineStr"/>
    </row>
    <row r="6">
      <c r="A6" s="5" t="inlineStr">
        <is>
          <t>Purchase_Orders</t>
        </is>
      </c>
      <c r="B6" s="5" t="inlineStr">
        <is>
          <t>po_no</t>
        </is>
      </c>
      <c r="C6" s="17" t="inlineStr">
        <is>
          <t>TEXT</t>
        </is>
      </c>
      <c r="D6" s="17" t="inlineStr">
        <is>
          <t>บังคับ</t>
        </is>
      </c>
      <c r="E6" s="18" t="inlineStr">
        <is>
          <t>UQ</t>
        </is>
      </c>
      <c r="F6" s="5" t="inlineStr">
        <is>
          <t>PO-26-0042</t>
        </is>
      </c>
      <c r="G6" s="5" t="inlineStr">
        <is>
          <t>เลขที่ผู้ใช้เห็นและใช้อ้างอิงกันทุกแผนก</t>
        </is>
      </c>
      <c r="H6" s="17" t="inlineStr">
        <is>
          <t>ระบบสร้าง/คำนวณ</t>
        </is>
      </c>
      <c r="I6" s="19" t="inlineStr"/>
    </row>
    <row r="7">
      <c r="A7" s="5" t="inlineStr">
        <is>
          <t>Purchase_Orders</t>
        </is>
      </c>
      <c r="B7" s="5" t="inlineStr">
        <is>
          <t>module</t>
        </is>
      </c>
      <c r="C7" s="17" t="inlineStr">
        <is>
          <t>ENUM</t>
        </is>
      </c>
      <c r="D7" s="17" t="inlineStr">
        <is>
          <t>บังคับ</t>
        </is>
      </c>
      <c r="E7" s="18" t="inlineStr"/>
      <c r="F7" s="5" t="inlineStr">
        <is>
          <t>DOMESTIC_FOOD / IMPORT_FOOD / SOLAR</t>
        </is>
      </c>
      <c r="G7" s="5" t="inlineStr">
        <is>
          <t>ตัวกำหนดว่าใช้ template ขั้นตอนชุดไหน</t>
        </is>
      </c>
      <c r="H7" s="17" t="inlineStr">
        <is>
          <t>ระบบสร้าง/คำนวณ</t>
        </is>
      </c>
      <c r="I7" s="19" t="inlineStr"/>
    </row>
    <row r="8">
      <c r="A8" s="5" t="inlineStr">
        <is>
          <t>Purchase_Orders</t>
        </is>
      </c>
      <c r="B8" s="5" t="inlineStr">
        <is>
          <t>sap_doc_entry</t>
        </is>
      </c>
      <c r="C8" s="17" t="inlineStr">
        <is>
          <t>NUMBER</t>
        </is>
      </c>
      <c r="D8" s="17" t="inlineStr">
        <is>
          <t>ไม่บังคับ</t>
        </is>
      </c>
      <c r="E8" s="18" t="inlineStr">
        <is>
          <t>FK</t>
        </is>
      </c>
      <c r="F8" s="5" t="inlineStr">
        <is>
          <t>OPOR.DocEntry</t>
        </is>
      </c>
      <c r="G8" s="5" t="inlineStr">
        <is>
          <t>คีย์จริงของ PO ใน B1 — ใช้จับคู่ตอนดึงข้อมูล</t>
        </is>
      </c>
      <c r="H8" s="17" t="inlineStr">
        <is>
          <t>ดึงจาก B1</t>
        </is>
      </c>
      <c r="I8" s="19" t="inlineStr"/>
    </row>
    <row r="9">
      <c r="A9" s="5" t="inlineStr">
        <is>
          <t>Purchase_Orders</t>
        </is>
      </c>
      <c r="B9" s="5" t="inlineStr">
        <is>
          <t>sap_doc_num</t>
        </is>
      </c>
      <c r="C9" s="17" t="inlineStr">
        <is>
          <t>TEXT</t>
        </is>
      </c>
      <c r="D9" s="17" t="inlineStr">
        <is>
          <t>ไม่บังคับ</t>
        </is>
      </c>
      <c r="E9" s="18" t="inlineStr"/>
      <c r="F9" s="5" t="inlineStr">
        <is>
          <t>OPOR.DocNum เช่น 10245</t>
        </is>
      </c>
      <c r="G9" s="5" t="inlineStr">
        <is>
          <t>เลข PO ที่คนอ่าน (ต่างจาก DocEntry)</t>
        </is>
      </c>
      <c r="H9" s="17" t="inlineStr">
        <is>
          <t>ดึงจาก B1</t>
        </is>
      </c>
      <c r="I9" s="19" t="inlineStr"/>
    </row>
    <row r="10">
      <c r="A10" s="5" t="inlineStr">
        <is>
          <t>Purchase_Orders</t>
        </is>
      </c>
      <c r="B10" s="5" t="inlineStr">
        <is>
          <t>supplier_code</t>
        </is>
      </c>
      <c r="C10" s="17" t="inlineStr">
        <is>
          <t>TEXT</t>
        </is>
      </c>
      <c r="D10" s="17" t="inlineStr">
        <is>
          <t>ไม่บังคับ</t>
        </is>
      </c>
      <c r="E10" s="18" t="inlineStr">
        <is>
          <t>FK</t>
        </is>
      </c>
      <c r="F10" s="5" t="inlineStr">
        <is>
          <t>OCRD.CardCode</t>
        </is>
      </c>
      <c r="G10" s="5" t="inlineStr">
        <is>
          <t>รหัสผู้ขาย</t>
        </is>
      </c>
      <c r="H10" s="17" t="inlineStr">
        <is>
          <t>ดึงจาก B1</t>
        </is>
      </c>
      <c r="I10" s="19" t="inlineStr"/>
    </row>
    <row r="11">
      <c r="A11" s="5" t="inlineStr">
        <is>
          <t>Purchase_Orders</t>
        </is>
      </c>
      <c r="B11" s="5" t="inlineStr">
        <is>
          <t>supplier_name</t>
        </is>
      </c>
      <c r="C11" s="17" t="inlineStr">
        <is>
          <t>TEXT</t>
        </is>
      </c>
      <c r="D11" s="17" t="inlineStr">
        <is>
          <t>ไม่บังคับ</t>
        </is>
      </c>
      <c r="E11" s="18" t="inlineStr"/>
      <c r="F11" s="5" t="inlineStr">
        <is>
          <t>OCRD.CardName</t>
        </is>
      </c>
      <c r="G11" s="5" t="inlineStr">
        <is>
          <t>เก็บชื่อซ้ำไว้ไม่ให้ประวัติเปลี่ยนเมื่อ master เปลี่ยน</t>
        </is>
      </c>
      <c r="H11" s="17" t="inlineStr">
        <is>
          <t>ดึงจาก B1</t>
        </is>
      </c>
      <c r="I11" s="19" t="inlineStr"/>
    </row>
    <row r="12">
      <c r="A12" s="5" t="inlineStr">
        <is>
          <t>Purchase_Orders</t>
        </is>
      </c>
      <c r="B12" s="5" t="inlineStr">
        <is>
          <t>item_summary</t>
        </is>
      </c>
      <c r="C12" s="17" t="inlineStr">
        <is>
          <t>TEXT</t>
        </is>
      </c>
      <c r="D12" s="17" t="inlineStr">
        <is>
          <t>บังคับ</t>
        </is>
      </c>
      <c r="E12" s="18" t="inlineStr"/>
      <c r="F12" s="5" t="inlineStr">
        <is>
          <t>กุ้งแช่แข็ง 16/20</t>
        </is>
      </c>
      <c r="G12" s="5" t="inlineStr">
        <is>
          <t>คำอธิบายสั้นให้จำ PO ได้</t>
        </is>
      </c>
      <c r="H12" s="17" t="inlineStr">
        <is>
          <t>คัดลอกจากเอกสารต้นทาง</t>
        </is>
      </c>
      <c r="I12" s="19" t="inlineStr"/>
    </row>
    <row r="13">
      <c r="A13" s="5" t="inlineStr">
        <is>
          <t>Purchase_Orders</t>
        </is>
      </c>
      <c r="B13" s="5" t="inlineStr">
        <is>
          <t>qty_summary</t>
        </is>
      </c>
      <c r="C13" s="17" t="inlineStr">
        <is>
          <t>TEXT</t>
        </is>
      </c>
      <c r="D13" s="17" t="inlineStr">
        <is>
          <t>ไม่บังคับ</t>
        </is>
      </c>
      <c r="E13" s="18" t="inlineStr"/>
      <c r="F13" s="5" t="inlineStr">
        <is>
          <t>500 KG</t>
        </is>
      </c>
      <c r="G13" s="5" t="inlineStr">
        <is>
          <t>จำนวนรวมแบบอ่านง่าย</t>
        </is>
      </c>
      <c r="H13" s="17" t="inlineStr">
        <is>
          <t>ดึงจาก B1</t>
        </is>
      </c>
      <c r="I13" s="19" t="inlineStr"/>
    </row>
    <row r="14">
      <c r="A14" s="5" t="inlineStr">
        <is>
          <t>Purchase_Orders</t>
        </is>
      </c>
      <c r="B14" s="5" t="inlineStr">
        <is>
          <t>currency</t>
        </is>
      </c>
      <c r="C14" s="17" t="inlineStr">
        <is>
          <t>TEXT</t>
        </is>
      </c>
      <c r="D14" s="17" t="inlineStr">
        <is>
          <t>บังคับ</t>
        </is>
      </c>
      <c r="E14" s="18" t="inlineStr"/>
      <c r="F14" s="5" t="inlineStr">
        <is>
          <t>THB</t>
        </is>
      </c>
      <c r="G14" s="5" t="inlineStr">
        <is>
          <t>สกุลเงินของ PO</t>
        </is>
      </c>
      <c r="H14" s="17" t="inlineStr">
        <is>
          <t>ดึงจาก B1</t>
        </is>
      </c>
      <c r="I14" s="19" t="inlineStr"/>
    </row>
    <row r="15">
      <c r="A15" s="5" t="inlineStr">
        <is>
          <t>Purchase_Orders</t>
        </is>
      </c>
      <c r="B15" s="5" t="inlineStr">
        <is>
          <t>total_amount</t>
        </is>
      </c>
      <c r="C15" s="17" t="inlineStr">
        <is>
          <t>NUMBER</t>
        </is>
      </c>
      <c r="D15" s="17" t="inlineStr">
        <is>
          <t>บังคับ</t>
        </is>
      </c>
      <c r="E15" s="18" t="inlineStr"/>
      <c r="F15" s="5" t="inlineStr">
        <is>
          <t>130000.00</t>
        </is>
      </c>
      <c r="G15" s="5" t="inlineStr">
        <is>
          <t>มูลค่า PO</t>
        </is>
      </c>
      <c r="H15" s="17" t="inlineStr">
        <is>
          <t>ดึงจาก B1</t>
        </is>
      </c>
      <c r="I15" s="19" t="inlineStr"/>
    </row>
    <row r="16">
      <c r="A16" s="5" t="inlineStr">
        <is>
          <t>Purchase_Orders</t>
        </is>
      </c>
      <c r="B16" s="5" t="inlineStr">
        <is>
          <t>payment_terms_code</t>
        </is>
      </c>
      <c r="C16" s="17" t="inlineStr">
        <is>
          <t>TEXT</t>
        </is>
      </c>
      <c r="D16" s="17" t="inlineStr">
        <is>
          <t>ไม่บังคับ</t>
        </is>
      </c>
      <c r="E16" s="18" t="inlineStr">
        <is>
          <t>FK</t>
        </is>
      </c>
      <c r="F16" s="5" t="inlineStr">
        <is>
          <t>OCTG.GroupNum</t>
        </is>
      </c>
      <c r="G16" s="5" t="inlineStr">
        <is>
          <t>เงื่อนไขชำระจาก B1 — ใช้สร้างงวดจ่ายอัตโนมัติ</t>
        </is>
      </c>
      <c r="H16" s="17" t="inlineStr">
        <is>
          <t>ดึงจาก B1</t>
        </is>
      </c>
      <c r="I16" s="19" t="inlineStr"/>
    </row>
    <row r="17">
      <c r="A17" s="5" t="inlineStr">
        <is>
          <t>Purchase_Orders</t>
        </is>
      </c>
      <c r="B17" s="5" t="inlineStr">
        <is>
          <t>payment_terms_name</t>
        </is>
      </c>
      <c r="C17" s="17" t="inlineStr">
        <is>
          <t>TEXT</t>
        </is>
      </c>
      <c r="D17" s="17" t="inlineStr">
        <is>
          <t>ไม่บังคับ</t>
        </is>
      </c>
      <c r="E17" s="18" t="inlineStr"/>
      <c r="F17" s="5" t="inlineStr">
        <is>
          <t>เครดิต 30 วัน</t>
        </is>
      </c>
      <c r="G17" s="5" t="inlineStr">
        <is>
          <t>ชื่อเงื่อนไขชำระแบบอ่านง่าย</t>
        </is>
      </c>
      <c r="H17" s="17" t="inlineStr">
        <is>
          <t>ดึงจาก B1</t>
        </is>
      </c>
      <c r="I17" s="19" t="inlineStr"/>
    </row>
    <row r="18">
      <c r="A18" s="5" t="inlineStr">
        <is>
          <t>Purchase_Orders</t>
        </is>
      </c>
      <c r="B18" s="5" t="inlineStr">
        <is>
          <t>owner_email</t>
        </is>
      </c>
      <c r="C18" s="17" t="inlineStr">
        <is>
          <t>TEXT</t>
        </is>
      </c>
      <c r="D18" s="17" t="inlineStr">
        <is>
          <t>บังคับ</t>
        </is>
      </c>
      <c r="E18" s="18" t="inlineStr">
        <is>
          <t>FK</t>
        </is>
      </c>
      <c r="F18" s="5" t="inlineStr">
        <is>
          <t>Users.email</t>
        </is>
      </c>
      <c r="G18" s="5" t="inlineStr">
        <is>
          <t>SR ผู้ดูแล PO นี้</t>
        </is>
      </c>
      <c r="H18" s="23" t="inlineStr">
        <is>
          <t>คนกรอก</t>
        </is>
      </c>
      <c r="I18" s="19" t="inlineStr"/>
    </row>
    <row r="19">
      <c r="A19" s="5" t="inlineStr">
        <is>
          <t>Purchase_Orders</t>
        </is>
      </c>
      <c r="B19" s="5" t="inlineStr">
        <is>
          <t>effective_date</t>
        </is>
      </c>
      <c r="C19" s="17" t="inlineStr">
        <is>
          <t>DATE</t>
        </is>
      </c>
      <c r="D19" s="17" t="inlineStr">
        <is>
          <t>ไม่บังคับ</t>
        </is>
      </c>
      <c r="E19" s="18" t="inlineStr"/>
      <c r="F19" s="5" t="inlineStr"/>
      <c r="G19" s="5" t="inlineStr">
        <is>
          <t>วันที่มีผล ที่เดิม SR ต้องแจ้ง AC ทางเมล</t>
        </is>
      </c>
      <c r="H19" s="23" t="inlineStr">
        <is>
          <t>คนกรอก</t>
        </is>
      </c>
      <c r="I19" s="19" t="inlineStr"/>
    </row>
    <row r="20">
      <c r="A20" s="5" t="inlineStr">
        <is>
          <t>Purchase_Orders</t>
        </is>
      </c>
      <c r="B20" s="5" t="inlineStr">
        <is>
          <t>expected_delivery_date</t>
        </is>
      </c>
      <c r="C20" s="17" t="inlineStr">
        <is>
          <t>DATE</t>
        </is>
      </c>
      <c r="D20" s="17" t="inlineStr">
        <is>
          <t>ไม่บังคับ</t>
        </is>
      </c>
      <c r="E20" s="18" t="inlineStr"/>
      <c r="F20" s="5" t="inlineStr"/>
      <c r="G20" s="5" t="inlineStr">
        <is>
          <t>วันนัดรับของ</t>
        </is>
      </c>
      <c r="H20" s="23" t="inlineStr">
        <is>
          <t>คนกรอก</t>
        </is>
      </c>
      <c r="I20" s="19" t="inlineStr"/>
    </row>
    <row r="21">
      <c r="A21" s="5" t="inlineStr">
        <is>
          <t>Purchase_Orders</t>
        </is>
      </c>
      <c r="B21" s="5" t="inlineStr">
        <is>
          <t>current_stage</t>
        </is>
      </c>
      <c r="C21" s="17" t="inlineStr">
        <is>
          <t>TEXT</t>
        </is>
      </c>
      <c r="D21" s="17" t="inlineStr">
        <is>
          <t>บังคับ</t>
        </is>
      </c>
      <c r="E21" s="18" t="inlineStr"/>
      <c r="F21" s="5" t="inlineStr">
        <is>
          <t>QC_INCOMING</t>
        </is>
      </c>
      <c r="G21" s="5" t="inlineStr">
        <is>
          <t>ขั้นตอนที่ค้างอยู่ตอนนี้</t>
        </is>
      </c>
      <c r="H21" s="17" t="inlineStr">
        <is>
          <t>ระบบสร้าง/คำนวณ</t>
        </is>
      </c>
      <c r="I21" s="19" t="inlineStr"/>
    </row>
    <row r="22">
      <c r="A22" s="5" t="inlineStr">
        <is>
          <t>Purchase_Orders</t>
        </is>
      </c>
      <c r="B22" s="5" t="inlineStr">
        <is>
          <t>current_owner_email</t>
        </is>
      </c>
      <c r="C22" s="17" t="inlineStr">
        <is>
          <t>TEXT</t>
        </is>
      </c>
      <c r="D22" s="17" t="inlineStr">
        <is>
          <t>บังคับ</t>
        </is>
      </c>
      <c r="E22" s="18" t="inlineStr">
        <is>
          <t>FK</t>
        </is>
      </c>
      <c r="F22" s="5" t="inlineStr">
        <is>
          <t>Users.email</t>
        </is>
      </c>
      <c r="G22" s="5" t="inlineStr">
        <is>
          <t>ใครถืองานอยู่ตอนนี้ — หัวใจของหน้าหลัก</t>
        </is>
      </c>
      <c r="H22" s="17" t="inlineStr">
        <is>
          <t>ระบบสร้าง/คำนวณ</t>
        </is>
      </c>
      <c r="I22" s="19" t="inlineStr"/>
    </row>
    <row r="23">
      <c r="A23" s="5" t="inlineStr">
        <is>
          <t>Purchase_Orders</t>
        </is>
      </c>
      <c r="B23" s="5" t="inlineStr">
        <is>
          <t>stage_due_at</t>
        </is>
      </c>
      <c r="C23" s="17" t="inlineStr">
        <is>
          <t>DATETIME</t>
        </is>
      </c>
      <c r="D23" s="17" t="inlineStr">
        <is>
          <t>ไม่บังคับ</t>
        </is>
      </c>
      <c r="E23" s="18" t="inlineStr"/>
      <c r="F23" s="5" t="inlineStr"/>
      <c r="G23" s="5" t="inlineStr">
        <is>
          <t>กำหนดเสร็จของขั้นปัจจุบัน คำนวณจาก SLA</t>
        </is>
      </c>
      <c r="H23" s="17" t="inlineStr">
        <is>
          <t>ระบบสร้าง/คำนวณ</t>
        </is>
      </c>
      <c r="I23" s="19" t="inlineStr"/>
    </row>
    <row r="24">
      <c r="A24" s="5" t="inlineStr">
        <is>
          <t>Purchase_Orders</t>
        </is>
      </c>
      <c r="B24" s="5" t="inlineStr">
        <is>
          <t>status</t>
        </is>
      </c>
      <c r="C24" s="17" t="inlineStr">
        <is>
          <t>ENUM</t>
        </is>
      </c>
      <c r="D24" s="17" t="inlineStr">
        <is>
          <t>บังคับ</t>
        </is>
      </c>
      <c r="E24" s="18" t="inlineStr"/>
      <c r="F24" s="5" t="inlineStr">
        <is>
          <t>ACTIVE / COMPLETED / CANCELLED</t>
        </is>
      </c>
      <c r="G24" s="5" t="inlineStr">
        <is>
          <t>ใช้แยกแท็บกำลังดำเนินการ/เสร็จสิ้น/ยกเลิก</t>
        </is>
      </c>
      <c r="H24" s="17" t="inlineStr">
        <is>
          <t>ระบบสร้าง/คำนวณ</t>
        </is>
      </c>
      <c r="I24" s="19" t="inlineStr"/>
    </row>
    <row r="25">
      <c r="A25" s="5" t="inlineStr">
        <is>
          <t>Purchase_Orders</t>
        </is>
      </c>
      <c r="B25" s="5" t="inlineStr">
        <is>
          <t>has_open_claim</t>
        </is>
      </c>
      <c r="C25" s="17" t="inlineStr">
        <is>
          <t>BOOLEAN</t>
        </is>
      </c>
      <c r="D25" s="17" t="inlineStr">
        <is>
          <t>บังคับ</t>
        </is>
      </c>
      <c r="E25" s="18" t="inlineStr"/>
      <c r="F25" s="5" t="inlineStr">
        <is>
          <t>TRUE / FALSE</t>
        </is>
      </c>
      <c r="G25" s="5" t="inlineStr">
        <is>
          <t>ถ้า TRUE = ปิด PO ไม่ได้ และงวดจ่ายถูกล็อก</t>
        </is>
      </c>
      <c r="H25" s="17" t="inlineStr">
        <is>
          <t>ระบบสร้าง/คำนวณ</t>
        </is>
      </c>
      <c r="I25" s="19" t="inlineStr"/>
    </row>
    <row r="26">
      <c r="A26" s="5" t="inlineStr">
        <is>
          <t>Purchase_Orders</t>
        </is>
      </c>
      <c r="B26" s="5" t="inlineStr">
        <is>
          <t>doc_complete</t>
        </is>
      </c>
      <c r="C26" s="17" t="inlineStr">
        <is>
          <t>BOOLEAN</t>
        </is>
      </c>
      <c r="D26" s="17" t="inlineStr">
        <is>
          <t>บังคับ</t>
        </is>
      </c>
      <c r="E26" s="18" t="inlineStr"/>
      <c r="F26" s="5" t="inlineStr">
        <is>
          <t>TRUE / FALSE</t>
        </is>
      </c>
      <c r="G26" s="5" t="inlineStr">
        <is>
          <t>เอกสารบังคับครบหรือยัง</t>
        </is>
      </c>
      <c r="H26" s="17" t="inlineStr">
        <is>
          <t>ระบบสร้าง/คำนวณ</t>
        </is>
      </c>
      <c r="I26" s="19" t="inlineStr"/>
    </row>
    <row r="27">
      <c r="A27" s="5" t="inlineStr">
        <is>
          <t>Purchase_Orders</t>
        </is>
      </c>
      <c r="B27" s="5" t="inlineStr">
        <is>
          <t>match_ready</t>
        </is>
      </c>
      <c r="C27" s="17" t="inlineStr">
        <is>
          <t>BOOLEAN</t>
        </is>
      </c>
      <c r="D27" s="17" t="inlineStr">
        <is>
          <t>บังคับ</t>
        </is>
      </c>
      <c r="E27" s="18" t="inlineStr"/>
      <c r="F27" s="5" t="inlineStr">
        <is>
          <t>TRUE / FALSE</t>
        </is>
      </c>
      <c r="G27" s="5" t="inlineStr">
        <is>
          <t>ตรวจ 3 ทางผ่านหรือยัง</t>
        </is>
      </c>
      <c r="H27" s="17" t="inlineStr">
        <is>
          <t>ระบบสร้าง/คำนวณ</t>
        </is>
      </c>
      <c r="I27" s="19" t="inlineStr"/>
    </row>
    <row r="28">
      <c r="A28" s="5" t="inlineStr">
        <is>
          <t>Purchase_Orders</t>
        </is>
      </c>
      <c r="B28" s="5" t="inlineStr">
        <is>
          <t>match_diff</t>
        </is>
      </c>
      <c r="C28" s="17" t="inlineStr">
        <is>
          <t>NUMBER</t>
        </is>
      </c>
      <c r="D28" s="17" t="inlineStr">
        <is>
          <t>ไม่บังคับ</t>
        </is>
      </c>
      <c r="E28" s="18" t="inlineStr"/>
      <c r="F28" s="5" t="inlineStr">
        <is>
          <t>2000.00</t>
        </is>
      </c>
      <c r="G28" s="5" t="inlineStr">
        <is>
          <t>ส่วนต่างที่ทำให้ 3 ทางไม่ผ่าน</t>
        </is>
      </c>
      <c r="H28" s="17" t="inlineStr">
        <is>
          <t>ระบบสร้าง/คำนวณ</t>
        </is>
      </c>
      <c r="I28" s="19" t="inlineStr"/>
    </row>
    <row r="29">
      <c r="A29" s="5" t="inlineStr">
        <is>
          <t>Purchase_Orders</t>
        </is>
      </c>
      <c r="B29" s="5" t="inlineStr">
        <is>
          <t>match_block</t>
        </is>
      </c>
      <c r="C29" s="17" t="inlineStr">
        <is>
          <t>TEXT</t>
        </is>
      </c>
      <c r="D29" s="17" t="inlineStr">
        <is>
          <t>ไม่บังคับ</t>
        </is>
      </c>
      <c r="E29" s="18" t="inlineStr"/>
      <c r="F29" s="5" t="inlineStr">
        <is>
          <t>ยอดใบแจ้งหนี้เกิน PO</t>
        </is>
      </c>
      <c r="G29" s="5" t="inlineStr">
        <is>
          <t>เหตุผลที่ยังปิดไม่ได้ แสดงให้ AC เห็น</t>
        </is>
      </c>
      <c r="H29" s="17" t="inlineStr">
        <is>
          <t>ระบบสร้าง/คำนวณ</t>
        </is>
      </c>
      <c r="I29" s="19" t="inlineStr"/>
    </row>
    <row r="30">
      <c r="A30" s="5" t="inlineStr">
        <is>
          <t>Purchase_Orders</t>
        </is>
      </c>
      <c r="B30" s="5" t="inlineStr">
        <is>
          <t>from_quote_no</t>
        </is>
      </c>
      <c r="C30" s="17" t="inlineStr">
        <is>
          <t>TEXT</t>
        </is>
      </c>
      <c r="D30" s="17" t="inlineStr">
        <is>
          <t>ไม่บังคับ</t>
        </is>
      </c>
      <c r="E30" s="18" t="inlineStr">
        <is>
          <t>FK</t>
        </is>
      </c>
      <c r="F30" s="5" t="inlineStr">
        <is>
          <t>Quotations.quote_no</t>
        </is>
      </c>
      <c r="G30" s="5" t="inlineStr">
        <is>
          <t>ถ้าเปิดจากใบเสนอราคา เก็บเลขไว้ตามรอยกลับ</t>
        </is>
      </c>
      <c r="H30" s="17" t="inlineStr">
        <is>
          <t>ระบบสร้าง/คำนวณ</t>
        </is>
      </c>
      <c r="I30" s="19" t="inlineStr"/>
    </row>
    <row r="31">
      <c r="A31" s="5" t="inlineStr">
        <is>
          <t>Purchase_Orders</t>
        </is>
      </c>
      <c r="B31" s="5" t="inlineStr">
        <is>
          <t>drive_folder_id</t>
        </is>
      </c>
      <c r="C31" s="17" t="inlineStr">
        <is>
          <t>FILE_ID</t>
        </is>
      </c>
      <c r="D31" s="17" t="inlineStr">
        <is>
          <t>บังคับ</t>
        </is>
      </c>
      <c r="E31" s="18" t="inlineStr"/>
      <c r="F31" s="5" t="inlineStr"/>
      <c r="G31" s="5" t="inlineStr">
        <is>
          <t>โฟลเดอร์ของรายการนี้ในไดรฟ์กลาง MGS-Documents</t>
        </is>
      </c>
      <c r="H31" s="17" t="inlineStr">
        <is>
          <t>ระบบสร้าง/คำนวณ</t>
        </is>
      </c>
      <c r="I31" s="19" t="inlineStr"/>
    </row>
    <row r="32">
      <c r="A32" s="5" t="inlineStr">
        <is>
          <t>Purchase_Orders</t>
        </is>
      </c>
      <c r="B32" s="5" t="inlineStr">
        <is>
          <t>entry_type</t>
        </is>
      </c>
      <c r="C32" s="17" t="inlineStr">
        <is>
          <t>ENUM</t>
        </is>
      </c>
      <c r="D32" s="17" t="inlineStr">
        <is>
          <t>บังคับ</t>
        </is>
      </c>
      <c r="E32" s="18" t="inlineStr"/>
      <c r="F32" s="5" t="inlineStr">
        <is>
          <t>PO / CASH</t>
        </is>
      </c>
      <c r="G32" s="5" t="inlineStr">
        <is>
          <t>PO = เปิด PO ใน B1 · CASH = ซื้อเงินสดไม่มี PO</t>
        </is>
      </c>
      <c r="H32" s="17" t="inlineStr">
        <is>
          <t>ระบบสร้าง/คำนวณ</t>
        </is>
      </c>
      <c r="I32" s="19" t="inlineStr"/>
    </row>
    <row r="33">
      <c r="A33" s="5" t="inlineStr">
        <is>
          <t>Purchase_Orders</t>
        </is>
      </c>
      <c r="B33" s="5" t="inlineStr">
        <is>
          <t>cash_reason</t>
        </is>
      </c>
      <c r="C33" s="17" t="inlineStr">
        <is>
          <t>TEXT</t>
        </is>
      </c>
      <c r="D33" s="17" t="inlineStr">
        <is>
          <t>ไม่บังคับ</t>
        </is>
      </c>
      <c r="E33" s="18" t="inlineStr"/>
      <c r="F33" s="5" t="inlineStr">
        <is>
          <t>ร้านไม่รับเครดิต ต้องจ่ายสดหน้างาน</t>
        </is>
      </c>
      <c r="G33" s="5" t="inlineStr">
        <is>
          <t>บังคับเมื่อ entry_type = CASH — เหตุผลที่ไม่เปิด PO (กฎ C1)</t>
        </is>
      </c>
      <c r="H33" s="23" t="inlineStr">
        <is>
          <t>คนกรอก</t>
        </is>
      </c>
      <c r="I33" s="19" t="inlineStr"/>
    </row>
    <row r="34">
      <c r="A34" s="5" t="inlineStr">
        <is>
          <t>Purchase_Orders</t>
        </is>
      </c>
      <c r="B34" s="5" t="inlineStr">
        <is>
          <t>cash_paid_from</t>
        </is>
      </c>
      <c r="C34" s="17" t="inlineStr">
        <is>
          <t>ENUM</t>
        </is>
      </c>
      <c r="D34" s="17" t="inlineStr">
        <is>
          <t>ไม่บังคับ</t>
        </is>
      </c>
      <c r="E34" s="18" t="inlineStr"/>
      <c r="F34" s="5" t="inlineStr">
        <is>
          <t>PETTY / OWN / TRANSFER</t>
        </is>
      </c>
      <c r="G34" s="5" t="inlineStr">
        <is>
          <t>จ่ายจากเงินสดย่อย / พนักงานสำรองจ่าย / โอนจากบัญชีบริษัท</t>
        </is>
      </c>
      <c r="H34" s="23" t="inlineStr">
        <is>
          <t>คนกรอก</t>
        </is>
      </c>
      <c r="I34" s="19" t="inlineStr"/>
    </row>
    <row r="35">
      <c r="A35" s="5" t="inlineStr">
        <is>
          <t>Purchase_Orders</t>
        </is>
      </c>
      <c r="B35" s="5" t="inlineStr">
        <is>
          <t>qc_bypassed</t>
        </is>
      </c>
      <c r="C35" s="17" t="inlineStr">
        <is>
          <t>BOOLEAN</t>
        </is>
      </c>
      <c r="D35" s="17" t="inlineStr">
        <is>
          <t>บังคับ</t>
        </is>
      </c>
      <c r="E35" s="18" t="inlineStr"/>
      <c r="F35" s="5" t="inlineStr">
        <is>
          <t>TRUE / FALSE</t>
        </is>
      </c>
      <c r="G35" s="5" t="inlineStr">
        <is>
          <t>ล็อตนี้ข้ามการตรวจรับของ QC หรือไม่</t>
        </is>
      </c>
      <c r="H35" s="23" t="inlineStr">
        <is>
          <t>คนกรอก</t>
        </is>
      </c>
      <c r="I35" s="19" t="inlineStr"/>
    </row>
    <row r="36">
      <c r="A36" s="5" t="inlineStr">
        <is>
          <t>Purchase_Orders</t>
        </is>
      </c>
      <c r="B36" s="5" t="inlineStr">
        <is>
          <t>qc_bypass_reason</t>
        </is>
      </c>
      <c r="C36" s="17" t="inlineStr">
        <is>
          <t>TEXT</t>
        </is>
      </c>
      <c r="D36" s="17" t="inlineStr">
        <is>
          <t>ไม่บังคับ</t>
        </is>
      </c>
      <c r="E36" s="18" t="inlineStr"/>
      <c r="F36" s="5" t="inlineStr">
        <is>
          <t>ผักสดตรวจหน้างานแล้ว</t>
        </is>
      </c>
      <c r="G36" s="5" t="inlineStr">
        <is>
          <t>บังคับเมื่อ qc_bypassed = TRUE (กฎ C3) — แก้ย้อนหลังไม่ได้</t>
        </is>
      </c>
      <c r="H36" s="23" t="inlineStr">
        <is>
          <t>คนกรอก</t>
        </is>
      </c>
      <c r="I36" s="19" t="inlineStr"/>
    </row>
    <row r="37">
      <c r="A37" s="5" t="inlineStr">
        <is>
          <t>Purchase_Orders</t>
        </is>
      </c>
      <c r="B37" s="5" t="inlineStr">
        <is>
          <t>qc_bypass_by</t>
        </is>
      </c>
      <c r="C37" s="17" t="inlineStr">
        <is>
          <t>TEXT</t>
        </is>
      </c>
      <c r="D37" s="17" t="inlineStr">
        <is>
          <t>ไม่บังคับ</t>
        </is>
      </c>
      <c r="E37" s="18" t="inlineStr">
        <is>
          <t>FK</t>
        </is>
      </c>
      <c r="F37" s="5" t="inlineStr">
        <is>
          <t>Users.email</t>
        </is>
      </c>
      <c r="G37" s="5" t="inlineStr">
        <is>
          <t>ใครเป็นผู้อนุมัติให้ข้าม QC</t>
        </is>
      </c>
      <c r="H37" s="17" t="inlineStr">
        <is>
          <t>ระบบสร้าง/คำนวณ</t>
        </is>
      </c>
      <c r="I37" s="19" t="inlineStr"/>
    </row>
    <row r="38">
      <c r="A38" s="5" t="inlineStr">
        <is>
          <t>Purchase_Orders</t>
        </is>
      </c>
      <c r="B38" s="5" t="inlineStr">
        <is>
          <t>qc_bypass_at</t>
        </is>
      </c>
      <c r="C38" s="17" t="inlineStr">
        <is>
          <t>DATETIME</t>
        </is>
      </c>
      <c r="D38" s="17" t="inlineStr">
        <is>
          <t>ไม่บังคับ</t>
        </is>
      </c>
      <c r="E38" s="18" t="inlineStr"/>
      <c r="F38" s="5" t="inlineStr"/>
      <c r="G38" s="5" t="inlineStr">
        <is>
          <t>เวลาที่กดยืนยันการข้าม QC</t>
        </is>
      </c>
      <c r="H38" s="17" t="inlineStr">
        <is>
          <t>ระบบสร้าง/คำนวณ</t>
        </is>
      </c>
      <c r="I38" s="19" t="inlineStr"/>
    </row>
    <row r="39">
      <c r="A39" s="5" t="inlineStr">
        <is>
          <t>Purchase_Orders</t>
        </is>
      </c>
      <c r="B39" s="5" t="inlineStr">
        <is>
          <t>bundle_doc_id</t>
        </is>
      </c>
      <c r="C39" s="17" t="inlineStr">
        <is>
          <t>UUID</t>
        </is>
      </c>
      <c r="D39" s="17" t="inlineStr">
        <is>
          <t>ไม่บังคับ</t>
        </is>
      </c>
      <c r="E39" s="18" t="inlineStr">
        <is>
          <t>FK</t>
        </is>
      </c>
      <c r="F39" s="5" t="inlineStr">
        <is>
          <t>Documents.doc_id</t>
        </is>
      </c>
      <c r="G39" s="5" t="inlineStr">
        <is>
          <t>ไฟล์รวมเล่ม — ว่างจนกว่าจะปิดรายการ</t>
        </is>
      </c>
      <c r="H39" s="17" t="inlineStr">
        <is>
          <t>ระบบสร้าง/คำนวณ</t>
        </is>
      </c>
      <c r="I39" s="19" t="inlineStr"/>
    </row>
    <row r="40">
      <c r="A40" s="5" t="inlineStr">
        <is>
          <t>Purchase_Orders</t>
        </is>
      </c>
      <c r="B40" s="5" t="inlineStr">
        <is>
          <t>bundle_at</t>
        </is>
      </c>
      <c r="C40" s="17" t="inlineStr">
        <is>
          <t>DATETIME</t>
        </is>
      </c>
      <c r="D40" s="17" t="inlineStr">
        <is>
          <t>ไม่บังคับ</t>
        </is>
      </c>
      <c r="E40" s="18" t="inlineStr"/>
      <c r="F40" s="5" t="inlineStr"/>
      <c r="G40" s="5" t="inlineStr">
        <is>
          <t>เวลาที่รวมเล่มเสร็จ</t>
        </is>
      </c>
      <c r="H40" s="17" t="inlineStr">
        <is>
          <t>ระบบสร้าง/คำนวณ</t>
        </is>
      </c>
      <c r="I40" s="19" t="inlineStr"/>
    </row>
    <row r="41">
      <c r="A41" s="5" t="inlineStr">
        <is>
          <t>Purchase_Orders</t>
        </is>
      </c>
      <c r="B41" s="5" t="inlineStr">
        <is>
          <t>created_by</t>
        </is>
      </c>
      <c r="C41" s="17" t="inlineStr">
        <is>
          <t>TEXT</t>
        </is>
      </c>
      <c r="D41" s="17" t="inlineStr">
        <is>
          <t>บังคับ</t>
        </is>
      </c>
      <c r="E41" s="18" t="inlineStr"/>
      <c r="F41" s="5" t="inlineStr"/>
      <c r="G41" s="5" t="inlineStr">
        <is>
          <t>ผู้สร้าง</t>
        </is>
      </c>
      <c r="H41" s="17" t="inlineStr">
        <is>
          <t>ระบบสร้าง/คำนวณ</t>
        </is>
      </c>
      <c r="I41" s="19" t="inlineStr"/>
    </row>
    <row r="42">
      <c r="A42" s="5" t="inlineStr">
        <is>
          <t>Purchase_Orders</t>
        </is>
      </c>
      <c r="B42" s="5" t="inlineStr">
        <is>
          <t>created_at</t>
        </is>
      </c>
      <c r="C42" s="17" t="inlineStr">
        <is>
          <t>DATETIME</t>
        </is>
      </c>
      <c r="D42" s="17" t="inlineStr">
        <is>
          <t>บังคับ</t>
        </is>
      </c>
      <c r="E42" s="18" t="inlineStr"/>
      <c r="F42" s="5" t="inlineStr"/>
      <c r="G42" s="5" t="inlineStr">
        <is>
          <t>เวลาสร้าง</t>
        </is>
      </c>
      <c r="H42" s="17" t="inlineStr">
        <is>
          <t>ระบบสร้าง/คำนวณ</t>
        </is>
      </c>
      <c r="I42" s="19" t="inlineStr"/>
    </row>
    <row r="43">
      <c r="A43" s="5" t="inlineStr">
        <is>
          <t>Purchase_Orders</t>
        </is>
      </c>
      <c r="B43" s="5" t="inlineStr">
        <is>
          <t>updated_at</t>
        </is>
      </c>
      <c r="C43" s="17" t="inlineStr">
        <is>
          <t>DATETIME</t>
        </is>
      </c>
      <c r="D43" s="17" t="inlineStr">
        <is>
          <t>บังคับ</t>
        </is>
      </c>
      <c r="E43" s="18" t="inlineStr"/>
      <c r="F43" s="5" t="inlineStr"/>
      <c r="G43" s="5" t="inlineStr">
        <is>
          <t>เวลาแก้ล่าสุด</t>
        </is>
      </c>
      <c r="H43" s="17" t="inlineStr">
        <is>
          <t>ระบบสร้าง/คำนวณ</t>
        </is>
      </c>
      <c r="I43" s="19" t="inlineStr"/>
    </row>
    <row r="44">
      <c r="A44" s="5" t="inlineStr">
        <is>
          <t>Purchase_Orders</t>
        </is>
      </c>
      <c r="B44" s="5" t="inlineStr">
        <is>
          <t>row_version</t>
        </is>
      </c>
      <c r="C44" s="17" t="inlineStr">
        <is>
          <t>NUMBER</t>
        </is>
      </c>
      <c r="D44" s="17" t="inlineStr">
        <is>
          <t>บังคับ</t>
        </is>
      </c>
      <c r="E44" s="18" t="inlineStr"/>
      <c r="F44" s="5" t="inlineStr">
        <is>
          <t>1, 2, 3...</t>
        </is>
      </c>
      <c r="G44" s="5" t="inlineStr">
        <is>
          <t>กันสองคนแก้ทับกันเงียบ ๆ</t>
        </is>
      </c>
      <c r="H44" s="17" t="inlineStr">
        <is>
          <t>ระบบสร้าง/คำนวณ</t>
        </is>
      </c>
      <c r="I44" s="19" t="inlineStr"/>
    </row>
    <row r="45">
      <c r="A45" s="10" t="inlineStr">
        <is>
          <t>PO_Payments</t>
        </is>
      </c>
      <c r="B45" s="5" t="inlineStr">
        <is>
          <t>payment_id</t>
        </is>
      </c>
      <c r="C45" s="17" t="inlineStr">
        <is>
          <t>UUID</t>
        </is>
      </c>
      <c r="D45" s="17" t="inlineStr">
        <is>
          <t>บังคับ</t>
        </is>
      </c>
      <c r="E45" s="18" t="inlineStr">
        <is>
          <t>PK</t>
        </is>
      </c>
      <c r="F45" s="5" t="inlineStr">
        <is>
          <t>UUID</t>
        </is>
      </c>
      <c r="G45" s="5" t="inlineStr">
        <is>
          <t>คีย์ภายใน</t>
        </is>
      </c>
      <c r="H45" s="17" t="inlineStr">
        <is>
          <t>ระบบสร้าง/คำนวณ</t>
        </is>
      </c>
      <c r="I45" s="19" t="inlineStr"/>
    </row>
    <row r="46">
      <c r="A46" s="5" t="inlineStr">
        <is>
          <t>PO_Payments</t>
        </is>
      </c>
      <c r="B46" s="5" t="inlineStr">
        <is>
          <t>po_no</t>
        </is>
      </c>
      <c r="C46" s="17" t="inlineStr">
        <is>
          <t>TEXT</t>
        </is>
      </c>
      <c r="D46" s="17" t="inlineStr">
        <is>
          <t>บังคับ</t>
        </is>
      </c>
      <c r="E46" s="18" t="inlineStr">
        <is>
          <t>FK</t>
        </is>
      </c>
      <c r="F46" s="5" t="inlineStr">
        <is>
          <t>Purchase_Orders.po_no</t>
        </is>
      </c>
      <c r="G46" s="5" t="inlineStr">
        <is>
          <t>PO ที่งวดนี้สังกัด</t>
        </is>
      </c>
      <c r="H46" s="17" t="inlineStr">
        <is>
          <t>ระบบสร้าง/คำนวณ</t>
        </is>
      </c>
      <c r="I46" s="19" t="inlineStr"/>
    </row>
    <row r="47">
      <c r="A47" s="5" t="inlineStr">
        <is>
          <t>PO_Payments</t>
        </is>
      </c>
      <c r="B47" s="5" t="inlineStr">
        <is>
          <t>seq</t>
        </is>
      </c>
      <c r="C47" s="17" t="inlineStr">
        <is>
          <t>NUMBER</t>
        </is>
      </c>
      <c r="D47" s="17" t="inlineStr">
        <is>
          <t>บังคับ</t>
        </is>
      </c>
      <c r="E47" s="18" t="inlineStr"/>
      <c r="F47" s="5" t="inlineStr">
        <is>
          <t>1, 2, 3</t>
        </is>
      </c>
      <c r="G47" s="5" t="inlineStr">
        <is>
          <t>งวดที่เท่าไหร่</t>
        </is>
      </c>
      <c r="H47" s="17" t="inlineStr">
        <is>
          <t>ระบบสร้าง/คำนวณ</t>
        </is>
      </c>
      <c r="I47" s="19" t="inlineStr"/>
    </row>
    <row r="48">
      <c r="A48" s="5" t="inlineStr">
        <is>
          <t>PO_Payments</t>
        </is>
      </c>
      <c r="B48" s="5" t="inlineStr">
        <is>
          <t>payment_type</t>
        </is>
      </c>
      <c r="C48" s="17" t="inlineStr">
        <is>
          <t>ENUM</t>
        </is>
      </c>
      <c r="D48" s="17" t="inlineStr">
        <is>
          <t>บังคับ</t>
        </is>
      </c>
      <c r="E48" s="18" t="inlineStr"/>
      <c r="F48" s="5" t="inlineStr">
        <is>
          <t>DEPOSIT / BALANCE / FULL / PARTIAL</t>
        </is>
      </c>
      <c r="G48" s="5" t="inlineStr">
        <is>
          <t>ประเภทงวด</t>
        </is>
      </c>
      <c r="H48" s="17" t="inlineStr">
        <is>
          <t>ระบบสร้าง/คำนวณ</t>
        </is>
      </c>
      <c r="I48" s="19" t="inlineStr"/>
    </row>
    <row r="49">
      <c r="A49" s="5" t="inlineStr">
        <is>
          <t>PO_Payments</t>
        </is>
      </c>
      <c r="B49" s="5" t="inlineStr">
        <is>
          <t>percent</t>
        </is>
      </c>
      <c r="C49" s="17" t="inlineStr">
        <is>
          <t>NUMBER</t>
        </is>
      </c>
      <c r="D49" s="17" t="inlineStr">
        <is>
          <t>ไม่บังคับ</t>
        </is>
      </c>
      <c r="E49" s="18" t="inlineStr"/>
      <c r="F49" s="5" t="inlineStr">
        <is>
          <t>30</t>
        </is>
      </c>
      <c r="G49" s="5" t="inlineStr">
        <is>
          <t>สัดส่วนของยอด PO</t>
        </is>
      </c>
      <c r="H49" s="17" t="inlineStr">
        <is>
          <t>ระบบสร้าง/คำนวณ</t>
        </is>
      </c>
      <c r="I49" s="19" t="inlineStr"/>
    </row>
    <row r="50">
      <c r="A50" s="5" t="inlineStr">
        <is>
          <t>PO_Payments</t>
        </is>
      </c>
      <c r="B50" s="5" t="inlineStr">
        <is>
          <t>amount</t>
        </is>
      </c>
      <c r="C50" s="17" t="inlineStr">
        <is>
          <t>NUMBER</t>
        </is>
      </c>
      <c r="D50" s="17" t="inlineStr">
        <is>
          <t>บังคับ</t>
        </is>
      </c>
      <c r="E50" s="18" t="inlineStr"/>
      <c r="F50" s="5" t="inlineStr">
        <is>
          <t>39000.00</t>
        </is>
      </c>
      <c r="G50" s="5" t="inlineStr">
        <is>
          <t>ยอดตามงวด</t>
        </is>
      </c>
      <c r="H50" s="17" t="inlineStr">
        <is>
          <t>ระบบสร้าง/คำนวณ</t>
        </is>
      </c>
      <c r="I50" s="19" t="inlineStr"/>
    </row>
    <row r="51">
      <c r="A51" s="5" t="inlineStr">
        <is>
          <t>PO_Payments</t>
        </is>
      </c>
      <c r="B51" s="5" t="inlineStr">
        <is>
          <t>currency</t>
        </is>
      </c>
      <c r="C51" s="17" t="inlineStr">
        <is>
          <t>TEXT</t>
        </is>
      </c>
      <c r="D51" s="17" t="inlineStr">
        <is>
          <t>บังคับ</t>
        </is>
      </c>
      <c r="E51" s="18" t="inlineStr"/>
      <c r="F51" s="5" t="inlineStr">
        <is>
          <t>THB</t>
        </is>
      </c>
      <c r="G51" s="5" t="inlineStr">
        <is>
          <t>สกุลเงิน</t>
        </is>
      </c>
      <c r="H51" s="17" t="inlineStr">
        <is>
          <t>ดึงจาก B1</t>
        </is>
      </c>
      <c r="I51" s="19" t="inlineStr"/>
    </row>
    <row r="52">
      <c r="A52" s="5" t="inlineStr">
        <is>
          <t>PO_Payments</t>
        </is>
      </c>
      <c r="B52" s="5" t="inlineStr">
        <is>
          <t>due_date</t>
        </is>
      </c>
      <c r="C52" s="17" t="inlineStr">
        <is>
          <t>DATE</t>
        </is>
      </c>
      <c r="D52" s="17" t="inlineStr">
        <is>
          <t>บังคับ</t>
        </is>
      </c>
      <c r="E52" s="18" t="inlineStr"/>
      <c r="F52" s="5" t="inlineStr"/>
      <c r="G52" s="5" t="inlineStr">
        <is>
          <t>วันครบกำหนด คำนวณจาก OCTG ของ B1</t>
        </is>
      </c>
      <c r="H52" s="17" t="inlineStr">
        <is>
          <t>ระบบสร้าง/คำนวณ</t>
        </is>
      </c>
      <c r="I52" s="19" t="inlineStr"/>
    </row>
    <row r="53">
      <c r="A53" s="5" t="inlineStr">
        <is>
          <t>PO_Payments</t>
        </is>
      </c>
      <c r="B53" s="5" t="inlineStr">
        <is>
          <t>payment_date</t>
        </is>
      </c>
      <c r="C53" s="17" t="inlineStr">
        <is>
          <t>DATE</t>
        </is>
      </c>
      <c r="D53" s="17" t="inlineStr">
        <is>
          <t>ไม่บังคับ</t>
        </is>
      </c>
      <c r="E53" s="18" t="inlineStr"/>
      <c r="F53" s="5" t="inlineStr"/>
      <c r="G53" s="5" t="inlineStr">
        <is>
          <t>วันที่ทำรายการจ่ายจริง</t>
        </is>
      </c>
      <c r="H53" s="23" t="inlineStr">
        <is>
          <t>คนกรอก</t>
        </is>
      </c>
      <c r="I53" s="19" t="inlineStr"/>
    </row>
    <row r="54">
      <c r="A54" s="5" t="inlineStr">
        <is>
          <t>PO_Payments</t>
        </is>
      </c>
      <c r="B54" s="5" t="inlineStr">
        <is>
          <t>value_date</t>
        </is>
      </c>
      <c r="C54" s="17" t="inlineStr">
        <is>
          <t>DATE</t>
        </is>
      </c>
      <c r="D54" s="17" t="inlineStr">
        <is>
          <t>ไม่บังคับ</t>
        </is>
      </c>
      <c r="E54" s="18" t="inlineStr"/>
      <c r="F54" s="5" t="inlineStr"/>
      <c r="G54" s="5" t="inlineStr">
        <is>
          <t>วันที่ธนาคารตัดเงินจริง — ตัวกำหนดงวดบัญชี</t>
        </is>
      </c>
      <c r="H54" s="23" t="inlineStr">
        <is>
          <t>คนกรอก</t>
        </is>
      </c>
      <c r="I54" s="19" t="inlineStr"/>
    </row>
    <row r="55">
      <c r="A55" s="5" t="inlineStr">
        <is>
          <t>PO_Payments</t>
        </is>
      </c>
      <c r="B55" s="5" t="inlineStr">
        <is>
          <t>posting_period</t>
        </is>
      </c>
      <c r="C55" s="17" t="inlineStr">
        <is>
          <t>TEXT</t>
        </is>
      </c>
      <c r="D55" s="17" t="inlineStr">
        <is>
          <t>ไม่บังคับ</t>
        </is>
      </c>
      <c r="E55" s="18" t="inlineStr"/>
      <c r="F55" s="5" t="inlineStr">
        <is>
          <t>2026-08</t>
        </is>
      </c>
      <c r="G55" s="5" t="inlineStr">
        <is>
          <t>งวดบัญชี คำนวณจาก value_date</t>
        </is>
      </c>
      <c r="H55" s="17" t="inlineStr">
        <is>
          <t>ระบบสร้าง/คำนวณ</t>
        </is>
      </c>
      <c r="I55" s="19" t="inlineStr"/>
    </row>
    <row r="56">
      <c r="A56" s="5" t="inlineStr">
        <is>
          <t>PO_Payments</t>
        </is>
      </c>
      <c r="B56" s="5" t="inlineStr">
        <is>
          <t>days_late</t>
        </is>
      </c>
      <c r="C56" s="17" t="inlineStr">
        <is>
          <t>NUMBER</t>
        </is>
      </c>
      <c r="D56" s="17" t="inlineStr">
        <is>
          <t>ไม่บังคับ</t>
        </is>
      </c>
      <c r="E56" s="18" t="inlineStr"/>
      <c r="F56" s="5" t="inlineStr">
        <is>
          <t>-2, 0, 5</t>
        </is>
      </c>
      <c r="G56" s="5" t="inlineStr">
        <is>
          <t>จ่ายช้ากี่วัน (ติดลบ = จ่ายก่อนกำหนด)</t>
        </is>
      </c>
      <c r="H56" s="17" t="inlineStr">
        <is>
          <t>ระบบสร้าง/คำนวณ</t>
        </is>
      </c>
      <c r="I56" s="19" t="inlineStr"/>
    </row>
    <row r="57">
      <c r="A57" s="5" t="inlineStr">
        <is>
          <t>PO_Payments</t>
        </is>
      </c>
      <c r="B57" s="5" t="inlineStr">
        <is>
          <t>method</t>
        </is>
      </c>
      <c r="C57" s="17" t="inlineStr">
        <is>
          <t>ENUM</t>
        </is>
      </c>
      <c r="D57" s="17" t="inlineStr">
        <is>
          <t>ไม่บังคับ</t>
        </is>
      </c>
      <c r="E57" s="18" t="inlineStr"/>
      <c r="F57" s="5" t="inlineStr">
        <is>
          <t>TRANSFER / CHEQUE / SWIFT / CASH</t>
        </is>
      </c>
      <c r="G57" s="5" t="inlineStr">
        <is>
          <t>วิธีจ่าย</t>
        </is>
      </c>
      <c r="H57" s="23" t="inlineStr">
        <is>
          <t>คนกรอก</t>
        </is>
      </c>
      <c r="I57" s="19" t="inlineStr"/>
    </row>
    <row r="58">
      <c r="A58" s="5" t="inlineStr">
        <is>
          <t>PO_Payments</t>
        </is>
      </c>
      <c r="B58" s="5" t="inlineStr">
        <is>
          <t>bank_account_code</t>
        </is>
      </c>
      <c r="C58" s="17" t="inlineStr">
        <is>
          <t>TEXT</t>
        </is>
      </c>
      <c r="D58" s="17" t="inlineStr">
        <is>
          <t>ไม่บังคับ</t>
        </is>
      </c>
      <c r="E58" s="18" t="inlineStr">
        <is>
          <t>FK</t>
        </is>
      </c>
      <c r="F58" s="5" t="inlineStr">
        <is>
          <t>Config</t>
        </is>
      </c>
      <c r="G58" s="5" t="inlineStr">
        <is>
          <t>บัญชีที่จ่ายออก เลือกจากรายการ ไม่ให้พิมพ์</t>
        </is>
      </c>
      <c r="H58" s="23" t="inlineStr">
        <is>
          <t>คนกรอก</t>
        </is>
      </c>
      <c r="I58" s="19" t="inlineStr"/>
    </row>
    <row r="59">
      <c r="A59" s="5" t="inlineStr">
        <is>
          <t>PO_Payments</t>
        </is>
      </c>
      <c r="B59" s="5" t="inlineStr">
        <is>
          <t>bank_ref</t>
        </is>
      </c>
      <c r="C59" s="17" t="inlineStr">
        <is>
          <t>TEXT</t>
        </is>
      </c>
      <c r="D59" s="17" t="inlineStr">
        <is>
          <t>ไม่บังคับ</t>
        </is>
      </c>
      <c r="E59" s="18" t="inlineStr">
        <is>
          <t>UQ</t>
        </is>
      </c>
      <c r="F59" s="5" t="inlineStr">
        <is>
          <t>KB26083000456</t>
        </is>
      </c>
      <c r="G59" s="5" t="inlineStr">
        <is>
          <t>เลขอ้างอิงธนาคาร — ห้ามซ้ำ เพราะเป็นตัวกันจ่ายซ้ำ</t>
        </is>
      </c>
      <c r="H59" s="23" t="inlineStr">
        <is>
          <t>คนกรอก</t>
        </is>
      </c>
      <c r="I59" s="19" t="inlineStr"/>
    </row>
    <row r="60">
      <c r="A60" s="5" t="inlineStr">
        <is>
          <t>PO_Payments</t>
        </is>
      </c>
      <c r="B60" s="5" t="inlineStr">
        <is>
          <t>cheque_no</t>
        </is>
      </c>
      <c r="C60" s="17" t="inlineStr">
        <is>
          <t>TEXT</t>
        </is>
      </c>
      <c r="D60" s="17" t="inlineStr">
        <is>
          <t>ไม่บังคับ</t>
        </is>
      </c>
      <c r="E60" s="18" t="inlineStr"/>
      <c r="F60" s="5" t="inlineStr"/>
      <c r="G60" s="5" t="inlineStr">
        <is>
          <t>เลขเช็ค ถ้าจ่ายด้วยเช็ค</t>
        </is>
      </c>
      <c r="H60" s="23" t="inlineStr">
        <is>
          <t>คนกรอก</t>
        </is>
      </c>
      <c r="I60" s="19" t="inlineStr"/>
    </row>
    <row r="61">
      <c r="A61" s="5" t="inlineStr">
        <is>
          <t>PO_Payments</t>
        </is>
      </c>
      <c r="B61" s="5" t="inlineStr">
        <is>
          <t>wht_type</t>
        </is>
      </c>
      <c r="C61" s="17" t="inlineStr">
        <is>
          <t>ENUM</t>
        </is>
      </c>
      <c r="D61" s="17" t="inlineStr">
        <is>
          <t>ไม่บังคับ</t>
        </is>
      </c>
      <c r="E61" s="18" t="inlineStr"/>
      <c r="F61" s="5" t="inlineStr">
        <is>
          <t>GOODS / FREIGHT / SERVICE / RENT / ADS</t>
        </is>
      </c>
      <c r="G61" s="5" t="inlineStr">
        <is>
          <t>ประเภทรายจ่ายสำหรับหัก ณ ที่จ่าย</t>
        </is>
      </c>
      <c r="H61" s="23" t="inlineStr">
        <is>
          <t>คนกรอก</t>
        </is>
      </c>
      <c r="I61" s="19" t="inlineStr"/>
    </row>
    <row r="62">
      <c r="A62" s="5" t="inlineStr">
        <is>
          <t>PO_Payments</t>
        </is>
      </c>
      <c r="B62" s="5" t="inlineStr">
        <is>
          <t>wht_rate</t>
        </is>
      </c>
      <c r="C62" s="17" t="inlineStr">
        <is>
          <t>NUMBER</t>
        </is>
      </c>
      <c r="D62" s="17" t="inlineStr">
        <is>
          <t>ไม่บังคับ</t>
        </is>
      </c>
      <c r="E62" s="18" t="inlineStr"/>
      <c r="F62" s="5" t="inlineStr">
        <is>
          <t>0, 1, 3, 5</t>
        </is>
      </c>
      <c r="G62" s="5" t="inlineStr">
        <is>
          <t>อัตราหัก ณ ที่จ่าย (%)</t>
        </is>
      </c>
      <c r="H62" s="17" t="inlineStr">
        <is>
          <t>ระบบสร้าง/คำนวณ</t>
        </is>
      </c>
      <c r="I62" s="19" t="inlineStr"/>
    </row>
    <row r="63">
      <c r="A63" s="5" t="inlineStr">
        <is>
          <t>PO_Payments</t>
        </is>
      </c>
      <c r="B63" s="5" t="inlineStr">
        <is>
          <t>wht_amount</t>
        </is>
      </c>
      <c r="C63" s="17" t="inlineStr">
        <is>
          <t>NUMBER</t>
        </is>
      </c>
      <c r="D63" s="17" t="inlineStr">
        <is>
          <t>ไม่บังคับ</t>
        </is>
      </c>
      <c r="E63" s="18" t="inlineStr"/>
      <c r="F63" s="5" t="inlineStr">
        <is>
          <t>0.00</t>
        </is>
      </c>
      <c r="G63" s="5" t="inlineStr">
        <is>
          <t>จำนวนภาษีหัก ณ ที่จ่าย</t>
        </is>
      </c>
      <c r="H63" s="23" t="inlineStr">
        <is>
          <t>คนกรอก</t>
        </is>
      </c>
      <c r="I63" s="19" t="inlineStr"/>
    </row>
    <row r="64">
      <c r="A64" s="5" t="inlineStr">
        <is>
          <t>PO_Payments</t>
        </is>
      </c>
      <c r="B64" s="5" t="inlineStr">
        <is>
          <t>wht_cert_no</t>
        </is>
      </c>
      <c r="C64" s="17" t="inlineStr">
        <is>
          <t>TEXT</t>
        </is>
      </c>
      <c r="D64" s="17" t="inlineStr">
        <is>
          <t>ไม่บังคับ</t>
        </is>
      </c>
      <c r="E64" s="18" t="inlineStr"/>
      <c r="F64" s="5" t="inlineStr"/>
      <c r="G64" s="5" t="inlineStr">
        <is>
          <t>เลขที่หนังสือรับรองหัก ณ ที่จ่าย</t>
        </is>
      </c>
      <c r="H64" s="23" t="inlineStr">
        <is>
          <t>คนกรอก</t>
        </is>
      </c>
      <c r="I64" s="19" t="inlineStr"/>
    </row>
    <row r="65">
      <c r="A65" s="5" t="inlineStr">
        <is>
          <t>PO_Payments</t>
        </is>
      </c>
      <c r="B65" s="5" t="inlineStr">
        <is>
          <t>fee_amount</t>
        </is>
      </c>
      <c r="C65" s="17" t="inlineStr">
        <is>
          <t>NUMBER</t>
        </is>
      </c>
      <c r="D65" s="17" t="inlineStr">
        <is>
          <t>ไม่บังคับ</t>
        </is>
      </c>
      <c r="E65" s="18" t="inlineStr"/>
      <c r="F65" s="5" t="inlineStr">
        <is>
          <t>35.00</t>
        </is>
      </c>
      <c r="G65" s="5" t="inlineStr">
        <is>
          <t>ค่าธรรมเนียมโอน</t>
        </is>
      </c>
      <c r="H65" s="23" t="inlineStr">
        <is>
          <t>คนกรอก</t>
        </is>
      </c>
      <c r="I65" s="19" t="inlineStr"/>
    </row>
    <row r="66">
      <c r="A66" s="5" t="inlineStr">
        <is>
          <t>PO_Payments</t>
        </is>
      </c>
      <c r="B66" s="5" t="inlineStr">
        <is>
          <t>fee_borne_by</t>
        </is>
      </c>
      <c r="C66" s="17" t="inlineStr">
        <is>
          <t>ENUM</t>
        </is>
      </c>
      <c r="D66" s="17" t="inlineStr">
        <is>
          <t>ไม่บังคับ</t>
        </is>
      </c>
      <c r="E66" s="18" t="inlineStr"/>
      <c r="F66" s="5" t="inlineStr">
        <is>
          <t>OUR / SUPPLIER</t>
        </is>
      </c>
      <c r="G66" s="5" t="inlineStr">
        <is>
          <t>ใครรับภาระค่าธรรมเนียม</t>
        </is>
      </c>
      <c r="H66" s="23" t="inlineStr">
        <is>
          <t>คนกรอก</t>
        </is>
      </c>
      <c r="I66" s="19" t="inlineStr"/>
    </row>
    <row r="67">
      <c r="A67" s="5" t="inlineStr">
        <is>
          <t>PO_Payments</t>
        </is>
      </c>
      <c r="B67" s="5" t="inlineStr">
        <is>
          <t>paid_amount</t>
        </is>
      </c>
      <c r="C67" s="17" t="inlineStr">
        <is>
          <t>NUMBER</t>
        </is>
      </c>
      <c r="D67" s="17" t="inlineStr">
        <is>
          <t>ไม่บังคับ</t>
        </is>
      </c>
      <c r="E67" s="18" t="inlineStr"/>
      <c r="F67" s="5" t="inlineStr">
        <is>
          <t>91035.00</t>
        </is>
      </c>
      <c r="G67" s="5" t="inlineStr">
        <is>
          <t>ยอดที่ตัดจากบัญชีจริง</t>
        </is>
      </c>
      <c r="H67" s="23" t="inlineStr">
        <is>
          <t>คนกรอก</t>
        </is>
      </c>
      <c r="I67" s="19" t="inlineStr"/>
    </row>
    <row r="68">
      <c r="A68" s="5" t="inlineStr">
        <is>
          <t>PO_Payments</t>
        </is>
      </c>
      <c r="B68" s="5" t="inlineStr">
        <is>
          <t>net_to_supplier</t>
        </is>
      </c>
      <c r="C68" s="17" t="inlineStr">
        <is>
          <t>NUMBER</t>
        </is>
      </c>
      <c r="D68" s="17" t="inlineStr">
        <is>
          <t>ไม่บังคับ</t>
        </is>
      </c>
      <c r="E68" s="18" t="inlineStr"/>
      <c r="F68" s="5" t="inlineStr">
        <is>
          <t>91000.00</t>
        </is>
      </c>
      <c r="G68" s="5" t="inlineStr">
        <is>
          <t>ยอดที่ผู้ขายได้รับ</t>
        </is>
      </c>
      <c r="H68" s="17" t="inlineStr">
        <is>
          <t>ระบบสร้าง/คำนวณ</t>
        </is>
      </c>
      <c r="I68" s="19" t="inlineStr"/>
    </row>
    <row r="69">
      <c r="A69" s="5" t="inlineStr">
        <is>
          <t>PO_Payments</t>
        </is>
      </c>
      <c r="B69" s="5" t="inlineStr">
        <is>
          <t>variance_amount</t>
        </is>
      </c>
      <c r="C69" s="17" t="inlineStr">
        <is>
          <t>NUMBER</t>
        </is>
      </c>
      <c r="D69" s="17" t="inlineStr">
        <is>
          <t>ไม่บังคับ</t>
        </is>
      </c>
      <c r="E69" s="18" t="inlineStr"/>
      <c r="F69" s="5" t="inlineStr">
        <is>
          <t>0.00</t>
        </is>
      </c>
      <c r="G69" s="5" t="inlineStr">
        <is>
          <t>ส่วนต่างจากที่ระบบคำนวณ</t>
        </is>
      </c>
      <c r="H69" s="17" t="inlineStr">
        <is>
          <t>ระบบสร้าง/คำนวณ</t>
        </is>
      </c>
      <c r="I69" s="19" t="inlineStr"/>
    </row>
    <row r="70">
      <c r="A70" s="5" t="inlineStr">
        <is>
          <t>PO_Payments</t>
        </is>
      </c>
      <c r="B70" s="5" t="inlineStr">
        <is>
          <t>variance_reason</t>
        </is>
      </c>
      <c r="C70" s="17" t="inlineStr">
        <is>
          <t>TEXT</t>
        </is>
      </c>
      <c r="D70" s="17" t="inlineStr">
        <is>
          <t>ไม่บังคับ</t>
        </is>
      </c>
      <c r="E70" s="18" t="inlineStr"/>
      <c r="F70" s="5" t="inlineStr"/>
      <c r="G70" s="5" t="inlineStr">
        <is>
          <t>เหตุผลของส่วนต่าง — บังคับเมื่อต่างเกิน 1 บาท</t>
        </is>
      </c>
      <c r="H70" s="23" t="inlineStr">
        <is>
          <t>คนกรอก</t>
        </is>
      </c>
      <c r="I70" s="19" t="inlineStr"/>
    </row>
    <row r="71">
      <c r="A71" s="5" t="inlineStr">
        <is>
          <t>PO_Payments</t>
        </is>
      </c>
      <c r="B71" s="5" t="inlineStr">
        <is>
          <t>fx_rate</t>
        </is>
      </c>
      <c r="C71" s="17" t="inlineStr">
        <is>
          <t>NUMBER</t>
        </is>
      </c>
      <c r="D71" s="17" t="inlineStr">
        <is>
          <t>ไม่บังคับ</t>
        </is>
      </c>
      <c r="E71" s="18" t="inlineStr"/>
      <c r="F71" s="5" t="inlineStr">
        <is>
          <t>35.20</t>
        </is>
      </c>
      <c r="G71" s="5" t="inlineStr">
        <is>
          <t>อัตราแลกเปลี่ยน ถ้าจ่ายต่างประเทศ</t>
        </is>
      </c>
      <c r="H71" s="23" t="inlineStr">
        <is>
          <t>คนกรอก</t>
        </is>
      </c>
      <c r="I71" s="19" t="inlineStr"/>
    </row>
    <row r="72">
      <c r="A72" s="5" t="inlineStr">
        <is>
          <t>PO_Payments</t>
        </is>
      </c>
      <c r="B72" s="5" t="inlineStr">
        <is>
          <t>amount_thb</t>
        </is>
      </c>
      <c r="C72" s="17" t="inlineStr">
        <is>
          <t>NUMBER</t>
        </is>
      </c>
      <c r="D72" s="17" t="inlineStr">
        <is>
          <t>ไม่บังคับ</t>
        </is>
      </c>
      <c r="E72" s="18" t="inlineStr"/>
      <c r="F72" s="5" t="inlineStr"/>
      <c r="G72" s="5" t="inlineStr">
        <is>
          <t>ยอดแปลงเป็นบาท</t>
        </is>
      </c>
      <c r="H72" s="17" t="inlineStr">
        <is>
          <t>ระบบสร้าง/คำนวณ</t>
        </is>
      </c>
      <c r="I72" s="19" t="inlineStr"/>
    </row>
    <row r="73">
      <c r="A73" s="5" t="inlineStr">
        <is>
          <t>PO_Payments</t>
        </is>
      </c>
      <c r="B73" s="5" t="inlineStr">
        <is>
          <t>status</t>
        </is>
      </c>
      <c r="C73" s="17" t="inlineStr">
        <is>
          <t>ENUM</t>
        </is>
      </c>
      <c r="D73" s="17" t="inlineStr">
        <is>
          <t>บังคับ</t>
        </is>
      </c>
      <c r="E73" s="18" t="inlineStr"/>
      <c r="F73" s="5" t="inlineStr">
        <is>
          <t>PENDING / BLOCKED / REQUESTED / APPROVED / PAID / FAILED / VOID / CANCELLED</t>
        </is>
      </c>
      <c r="G73" s="5" t="inlineStr">
        <is>
          <t>สถานะงวด — ดูแท็บ «สถานะ»</t>
        </is>
      </c>
      <c r="H73" s="17" t="inlineStr">
        <is>
          <t>ระบบสร้าง/คำนวณ</t>
        </is>
      </c>
      <c r="I73" s="19" t="inlineStr"/>
    </row>
    <row r="74">
      <c r="A74" s="5" t="inlineStr">
        <is>
          <t>PO_Payments</t>
        </is>
      </c>
      <c r="B74" s="5" t="inlineStr">
        <is>
          <t>blocked_by_claim_no</t>
        </is>
      </c>
      <c r="C74" s="17" t="inlineStr">
        <is>
          <t>TEXT</t>
        </is>
      </c>
      <c r="D74" s="17" t="inlineStr">
        <is>
          <t>ไม่บังคับ</t>
        </is>
      </c>
      <c r="E74" s="18" t="inlineStr">
        <is>
          <t>FK</t>
        </is>
      </c>
      <c r="F74" s="5" t="inlineStr">
        <is>
          <t>Claims.claim_no</t>
        </is>
      </c>
      <c r="G74" s="5" t="inlineStr">
        <is>
          <t>ใบเคลมที่ทำให้งวดนี้ถูกล็อก</t>
        </is>
      </c>
      <c r="H74" s="17" t="inlineStr">
        <is>
          <t>ระบบสร้าง/คำนวณ</t>
        </is>
      </c>
      <c r="I74" s="19" t="inlineStr"/>
    </row>
    <row r="75">
      <c r="A75" s="5" t="inlineStr">
        <is>
          <t>PO_Payments</t>
        </is>
      </c>
      <c r="B75" s="5" t="inlineStr">
        <is>
          <t>requested_by</t>
        </is>
      </c>
      <c r="C75" s="17" t="inlineStr">
        <is>
          <t>TEXT</t>
        </is>
      </c>
      <c r="D75" s="17" t="inlineStr">
        <is>
          <t>ไม่บังคับ</t>
        </is>
      </c>
      <c r="E75" s="18" t="inlineStr">
        <is>
          <t>FK</t>
        </is>
      </c>
      <c r="F75" s="5" t="inlineStr">
        <is>
          <t>Users.email</t>
        </is>
      </c>
      <c r="G75" s="5" t="inlineStr">
        <is>
          <t>ผู้ตั้งเรื่องขอจ่าย</t>
        </is>
      </c>
      <c r="H75" s="17" t="inlineStr">
        <is>
          <t>ระบบสร้าง/คำนวณ</t>
        </is>
      </c>
      <c r="I75" s="19" t="inlineStr"/>
    </row>
    <row r="76">
      <c r="A76" s="5" t="inlineStr">
        <is>
          <t>PO_Payments</t>
        </is>
      </c>
      <c r="B76" s="5" t="inlineStr">
        <is>
          <t>requested_at</t>
        </is>
      </c>
      <c r="C76" s="17" t="inlineStr">
        <is>
          <t>DATETIME</t>
        </is>
      </c>
      <c r="D76" s="17" t="inlineStr">
        <is>
          <t>ไม่บังคับ</t>
        </is>
      </c>
      <c r="E76" s="18" t="inlineStr"/>
      <c r="F76" s="5" t="inlineStr"/>
      <c r="G76" s="5" t="inlineStr">
        <is>
          <t>เวลาตั้งเรื่อง</t>
        </is>
      </c>
      <c r="H76" s="17" t="inlineStr">
        <is>
          <t>ระบบสร้าง/คำนวณ</t>
        </is>
      </c>
      <c r="I76" s="19" t="inlineStr"/>
    </row>
    <row r="77">
      <c r="A77" s="5" t="inlineStr">
        <is>
          <t>PO_Payments</t>
        </is>
      </c>
      <c r="B77" s="5" t="inlineStr">
        <is>
          <t>approved_by</t>
        </is>
      </c>
      <c r="C77" s="17" t="inlineStr">
        <is>
          <t>TEXT</t>
        </is>
      </c>
      <c r="D77" s="17" t="inlineStr">
        <is>
          <t>ไม่บังคับ</t>
        </is>
      </c>
      <c r="E77" s="18" t="inlineStr">
        <is>
          <t>FK</t>
        </is>
      </c>
      <c r="F77" s="5" t="inlineStr">
        <is>
          <t>Users.email</t>
        </is>
      </c>
      <c r="G77" s="5" t="inlineStr">
        <is>
          <t>ผู้อนุมัติ — ต้องคนละคนกับผู้ตั้งเรื่อง</t>
        </is>
      </c>
      <c r="H77" s="17" t="inlineStr">
        <is>
          <t>ระบบสร้าง/คำนวณ</t>
        </is>
      </c>
      <c r="I77" s="19" t="inlineStr"/>
    </row>
    <row r="78">
      <c r="A78" s="5" t="inlineStr">
        <is>
          <t>PO_Payments</t>
        </is>
      </c>
      <c r="B78" s="5" t="inlineStr">
        <is>
          <t>approved_at</t>
        </is>
      </c>
      <c r="C78" s="17" t="inlineStr">
        <is>
          <t>DATETIME</t>
        </is>
      </c>
      <c r="D78" s="17" t="inlineStr">
        <is>
          <t>ไม่บังคับ</t>
        </is>
      </c>
      <c r="E78" s="18" t="inlineStr"/>
      <c r="F78" s="5" t="inlineStr"/>
      <c r="G78" s="5" t="inlineStr">
        <is>
          <t>เวลาอนุมัติ</t>
        </is>
      </c>
      <c r="H78" s="17" t="inlineStr">
        <is>
          <t>ระบบสร้าง/คำนวณ</t>
        </is>
      </c>
      <c r="I78" s="19" t="inlineStr"/>
    </row>
    <row r="79">
      <c r="A79" s="5" t="inlineStr">
        <is>
          <t>PO_Payments</t>
        </is>
      </c>
      <c r="B79" s="5" t="inlineStr">
        <is>
          <t>reject_reason</t>
        </is>
      </c>
      <c r="C79" s="17" t="inlineStr">
        <is>
          <t>TEXT</t>
        </is>
      </c>
      <c r="D79" s="17" t="inlineStr">
        <is>
          <t>ไม่บังคับ</t>
        </is>
      </c>
      <c r="E79" s="18" t="inlineStr"/>
      <c r="F79" s="5" t="inlineStr"/>
      <c r="G79" s="5" t="inlineStr">
        <is>
          <t>เหตุผลที่ตีกลับ</t>
        </is>
      </c>
      <c r="H79" s="23" t="inlineStr">
        <is>
          <t>คนกรอก</t>
        </is>
      </c>
      <c r="I79" s="19" t="inlineStr"/>
    </row>
    <row r="80">
      <c r="A80" s="5" t="inlineStr">
        <is>
          <t>PO_Payments</t>
        </is>
      </c>
      <c r="B80" s="5" t="inlineStr">
        <is>
          <t>paid_by</t>
        </is>
      </c>
      <c r="C80" s="17" t="inlineStr">
        <is>
          <t>TEXT</t>
        </is>
      </c>
      <c r="D80" s="17" t="inlineStr">
        <is>
          <t>ไม่บังคับ</t>
        </is>
      </c>
      <c r="E80" s="18" t="inlineStr">
        <is>
          <t>FK</t>
        </is>
      </c>
      <c r="F80" s="5" t="inlineStr">
        <is>
          <t>Users.email</t>
        </is>
      </c>
      <c r="G80" s="5" t="inlineStr">
        <is>
          <t>ผู้บันทึกจ่าย — ต้องคนละคนกับผู้อนุมัติ</t>
        </is>
      </c>
      <c r="H80" s="17" t="inlineStr">
        <is>
          <t>ระบบสร้าง/คำนวณ</t>
        </is>
      </c>
      <c r="I80" s="19" t="inlineStr"/>
    </row>
    <row r="81">
      <c r="A81" s="5" t="inlineStr">
        <is>
          <t>PO_Payments</t>
        </is>
      </c>
      <c r="B81" s="5" t="inlineStr">
        <is>
          <t>paid_at</t>
        </is>
      </c>
      <c r="C81" s="17" t="inlineStr">
        <is>
          <t>DATETIME</t>
        </is>
      </c>
      <c r="D81" s="17" t="inlineStr">
        <is>
          <t>ไม่บังคับ</t>
        </is>
      </c>
      <c r="E81" s="18" t="inlineStr"/>
      <c r="F81" s="5" t="inlineStr"/>
      <c r="G81" s="5" t="inlineStr">
        <is>
          <t>เวลาที่บันทึกจ่ายในระบบ</t>
        </is>
      </c>
      <c r="H81" s="17" t="inlineStr">
        <is>
          <t>ระบบสร้าง/คำนวณ</t>
        </is>
      </c>
      <c r="I81" s="19" t="inlineStr"/>
    </row>
    <row r="82">
      <c r="A82" s="5" t="inlineStr">
        <is>
          <t>PO_Payments</t>
        </is>
      </c>
      <c r="B82" s="5" t="inlineStr">
        <is>
          <t>slip_doc_id</t>
        </is>
      </c>
      <c r="C82" s="17" t="inlineStr">
        <is>
          <t>FILE_ID</t>
        </is>
      </c>
      <c r="D82" s="17" t="inlineStr">
        <is>
          <t>ไม่บังคับ</t>
        </is>
      </c>
      <c r="E82" s="18" t="inlineStr">
        <is>
          <t>FK</t>
        </is>
      </c>
      <c r="F82" s="5" t="inlineStr">
        <is>
          <t>Documents.doc_id</t>
        </is>
      </c>
      <c r="G82" s="5" t="inlineStr">
        <is>
          <t>สลิป/Swift ของงวดนี้</t>
        </is>
      </c>
      <c r="H82" s="23" t="inlineStr">
        <is>
          <t>คนกรอก</t>
        </is>
      </c>
      <c r="I82" s="19" t="inlineStr"/>
    </row>
    <row r="83">
      <c r="A83" s="5" t="inlineStr">
        <is>
          <t>PO_Payments</t>
        </is>
      </c>
      <c r="B83" s="5" t="inlineStr">
        <is>
          <t>receipt_doc_id</t>
        </is>
      </c>
      <c r="C83" s="17" t="inlineStr">
        <is>
          <t>FILE_ID</t>
        </is>
      </c>
      <c r="D83" s="17" t="inlineStr">
        <is>
          <t>ไม่บังคับ</t>
        </is>
      </c>
      <c r="E83" s="18" t="inlineStr">
        <is>
          <t>FK</t>
        </is>
      </c>
      <c r="F83" s="5" t="inlineStr">
        <is>
          <t>Documents.doc_id</t>
        </is>
      </c>
      <c r="G83" s="5" t="inlineStr">
        <is>
          <t>ใบเสร็จจากผู้ขาย</t>
        </is>
      </c>
      <c r="H83" s="23" t="inlineStr">
        <is>
          <t>คนกรอก</t>
        </is>
      </c>
      <c r="I83" s="19" t="inlineStr"/>
    </row>
    <row r="84">
      <c r="A84" s="5" t="inlineStr">
        <is>
          <t>PO_Payments</t>
        </is>
      </c>
      <c r="B84" s="5" t="inlineStr">
        <is>
          <t>void_of_payment_id</t>
        </is>
      </c>
      <c r="C84" s="17" t="inlineStr">
        <is>
          <t>UUID</t>
        </is>
      </c>
      <c r="D84" s="17" t="inlineStr">
        <is>
          <t>ไม่บังคับ</t>
        </is>
      </c>
      <c r="E84" s="18" t="inlineStr">
        <is>
          <t>FK</t>
        </is>
      </c>
      <c r="F84" s="5" t="inlineStr">
        <is>
          <t>PO_Payments.payment_id</t>
        </is>
      </c>
      <c r="G84" s="5" t="inlineStr">
        <is>
          <t>ถ้าเป็นการกลับรายการ ชี้ไปรายการเดิม</t>
        </is>
      </c>
      <c r="H84" s="17" t="inlineStr">
        <is>
          <t>ระบบสร้าง/คำนวณ</t>
        </is>
      </c>
      <c r="I84" s="19" t="inlineStr"/>
    </row>
    <row r="85">
      <c r="A85" s="5" t="inlineStr">
        <is>
          <t>PO_Payments</t>
        </is>
      </c>
      <c r="B85" s="5" t="inlineStr">
        <is>
          <t>void_reason</t>
        </is>
      </c>
      <c r="C85" s="17" t="inlineStr">
        <is>
          <t>TEXT</t>
        </is>
      </c>
      <c r="D85" s="17" t="inlineStr">
        <is>
          <t>ไม่บังคับ</t>
        </is>
      </c>
      <c r="E85" s="18" t="inlineStr"/>
      <c r="F85" s="5" t="inlineStr"/>
      <c r="G85" s="5" t="inlineStr">
        <is>
          <t>เหตุผลการกลับรายการ</t>
        </is>
      </c>
      <c r="H85" s="23" t="inlineStr">
        <is>
          <t>คนกรอก</t>
        </is>
      </c>
      <c r="I85" s="19" t="inlineStr"/>
    </row>
    <row r="86">
      <c r="A86" s="5" t="inlineStr">
        <is>
          <t>PO_Payments</t>
        </is>
      </c>
      <c r="B86" s="5" t="inlineStr">
        <is>
          <t>voided_by</t>
        </is>
      </c>
      <c r="C86" s="17" t="inlineStr">
        <is>
          <t>TEXT</t>
        </is>
      </c>
      <c r="D86" s="17" t="inlineStr">
        <is>
          <t>ไม่บังคับ</t>
        </is>
      </c>
      <c r="E86" s="18" t="inlineStr">
        <is>
          <t>FK</t>
        </is>
      </c>
      <c r="F86" s="5" t="inlineStr">
        <is>
          <t>Users.email</t>
        </is>
      </c>
      <c r="G86" s="5" t="inlineStr">
        <is>
          <t>ผู้กลับรายการ (หัวหน้าบัญชี)</t>
        </is>
      </c>
      <c r="H86" s="17" t="inlineStr">
        <is>
          <t>ระบบสร้าง/คำนวณ</t>
        </is>
      </c>
      <c r="I86" s="19" t="inlineStr"/>
    </row>
    <row r="87">
      <c r="A87" s="5" t="inlineStr">
        <is>
          <t>PO_Payments</t>
        </is>
      </c>
      <c r="B87" s="5" t="inlineStr">
        <is>
          <t>voided_at</t>
        </is>
      </c>
      <c r="C87" s="17" t="inlineStr">
        <is>
          <t>DATETIME</t>
        </is>
      </c>
      <c r="D87" s="17" t="inlineStr">
        <is>
          <t>ไม่บังคับ</t>
        </is>
      </c>
      <c r="E87" s="18" t="inlineStr"/>
      <c r="F87" s="5" t="inlineStr"/>
      <c r="G87" s="5" t="inlineStr">
        <is>
          <t>เวลากลับรายการ</t>
        </is>
      </c>
      <c r="H87" s="17" t="inlineStr">
        <is>
          <t>ระบบสร้าง/คำนวณ</t>
        </is>
      </c>
      <c r="I87" s="19" t="inlineStr"/>
    </row>
    <row r="88">
      <c r="A88" s="5" t="inlineStr">
        <is>
          <t>PO_Payments</t>
        </is>
      </c>
      <c r="B88" s="5" t="inlineStr">
        <is>
          <t>note</t>
        </is>
      </c>
      <c r="C88" s="17" t="inlineStr">
        <is>
          <t>TEXT</t>
        </is>
      </c>
      <c r="D88" s="17" t="inlineStr">
        <is>
          <t>ไม่บังคับ</t>
        </is>
      </c>
      <c r="E88" s="18" t="inlineStr"/>
      <c r="F88" s="5" t="inlineStr"/>
      <c r="G88" s="5" t="inlineStr">
        <is>
          <t>หมายเหตุ</t>
        </is>
      </c>
      <c r="H88" s="23" t="inlineStr">
        <is>
          <t>คนกรอก</t>
        </is>
      </c>
      <c r="I88" s="19" t="inlineStr"/>
    </row>
    <row r="89">
      <c r="A89" s="5" t="inlineStr">
        <is>
          <t>PO_Payments</t>
        </is>
      </c>
      <c r="B89" s="5" t="inlineStr">
        <is>
          <t>idempotency_key</t>
        </is>
      </c>
      <c r="C89" s="17" t="inlineStr">
        <is>
          <t>TEXT</t>
        </is>
      </c>
      <c r="D89" s="17" t="inlineStr">
        <is>
          <t>บังคับ</t>
        </is>
      </c>
      <c r="E89" s="18" t="inlineStr">
        <is>
          <t>UQ</t>
        </is>
      </c>
      <c r="F89" s="5" t="inlineStr">
        <is>
          <t>po_no+seq+payment_date+bank_ref</t>
        </is>
      </c>
      <c r="G89" s="5" t="inlineStr">
        <is>
          <t>กันกดปุ่มบันทึกซ้ำตอนเน็ตช้า</t>
        </is>
      </c>
      <c r="H89" s="17" t="inlineStr">
        <is>
          <t>ระบบสร้าง/คำนวณ</t>
        </is>
      </c>
      <c r="I89" s="19" t="inlineStr"/>
    </row>
    <row r="90">
      <c r="A90" s="5" t="inlineStr">
        <is>
          <t>PO_Payments</t>
        </is>
      </c>
      <c r="B90" s="5" t="inlineStr">
        <is>
          <t>row_version</t>
        </is>
      </c>
      <c r="C90" s="17" t="inlineStr">
        <is>
          <t>NUMBER</t>
        </is>
      </c>
      <c r="D90" s="17" t="inlineStr">
        <is>
          <t>บังคับ</t>
        </is>
      </c>
      <c r="E90" s="18" t="inlineStr"/>
      <c r="F90" s="5" t="inlineStr"/>
      <c r="G90" s="5" t="inlineStr">
        <is>
          <t>กันสองคนแก้ทับกัน</t>
        </is>
      </c>
      <c r="H90" s="17" t="inlineStr">
        <is>
          <t>ระบบสร้าง/คำนวณ</t>
        </is>
      </c>
      <c r="I90" s="19" t="inlineStr"/>
    </row>
    <row r="91">
      <c r="A91" s="5" t="inlineStr">
        <is>
          <t>PO_Payments</t>
        </is>
      </c>
      <c r="B91" s="5" t="inlineStr">
        <is>
          <t>created_at</t>
        </is>
      </c>
      <c r="C91" s="17" t="inlineStr">
        <is>
          <t>DATETIME</t>
        </is>
      </c>
      <c r="D91" s="17" t="inlineStr">
        <is>
          <t>บังคับ</t>
        </is>
      </c>
      <c r="E91" s="18" t="inlineStr"/>
      <c r="F91" s="5" t="inlineStr"/>
      <c r="G91" s="5" t="inlineStr"/>
      <c r="H91" s="17" t="inlineStr">
        <is>
          <t>ระบบสร้าง/คำนวณ</t>
        </is>
      </c>
      <c r="I91" s="19" t="inlineStr"/>
    </row>
    <row r="92">
      <c r="A92" s="5" t="inlineStr">
        <is>
          <t>PO_Payments</t>
        </is>
      </c>
      <c r="B92" s="5" t="inlineStr">
        <is>
          <t>updated_at</t>
        </is>
      </c>
      <c r="C92" s="17" t="inlineStr">
        <is>
          <t>DATETIME</t>
        </is>
      </c>
      <c r="D92" s="17" t="inlineStr">
        <is>
          <t>บังคับ</t>
        </is>
      </c>
      <c r="E92" s="18" t="inlineStr"/>
      <c r="F92" s="5" t="inlineStr"/>
      <c r="G92" s="5" t="inlineStr"/>
      <c r="H92" s="17" t="inlineStr">
        <is>
          <t>ระบบสร้าง/คำนวณ</t>
        </is>
      </c>
      <c r="I92" s="19" t="inlineStr"/>
    </row>
    <row r="93">
      <c r="A93" s="10" t="inlineStr">
        <is>
          <t>Doc_Checklist</t>
        </is>
      </c>
      <c r="B93" s="5" t="inlineStr">
        <is>
          <t>checklist_id</t>
        </is>
      </c>
      <c r="C93" s="17" t="inlineStr">
        <is>
          <t>UUID</t>
        </is>
      </c>
      <c r="D93" s="17" t="inlineStr">
        <is>
          <t>บังคับ</t>
        </is>
      </c>
      <c r="E93" s="18" t="inlineStr">
        <is>
          <t>PK</t>
        </is>
      </c>
      <c r="F93" s="5" t="inlineStr"/>
      <c r="G93" s="5" t="inlineStr">
        <is>
          <t>คีย์ภายใน</t>
        </is>
      </c>
      <c r="H93" s="17" t="inlineStr">
        <is>
          <t>ระบบสร้าง/คำนวณ</t>
        </is>
      </c>
      <c r="I93" s="19" t="inlineStr"/>
    </row>
    <row r="94">
      <c r="A94" s="5" t="inlineStr">
        <is>
          <t>Doc_Checklist</t>
        </is>
      </c>
      <c r="B94" s="5" t="inlineStr">
        <is>
          <t>po_no</t>
        </is>
      </c>
      <c r="C94" s="17" t="inlineStr">
        <is>
          <t>TEXT</t>
        </is>
      </c>
      <c r="D94" s="17" t="inlineStr">
        <is>
          <t>บังคับ</t>
        </is>
      </c>
      <c r="E94" s="18" t="inlineStr">
        <is>
          <t>FK</t>
        </is>
      </c>
      <c r="F94" s="5" t="inlineStr">
        <is>
          <t>Purchase_Orders.po_no</t>
        </is>
      </c>
      <c r="G94" s="5" t="inlineStr">
        <is>
          <t>PO ที่เอกสารใบนี้สังกัด</t>
        </is>
      </c>
      <c r="H94" s="17" t="inlineStr">
        <is>
          <t>ระบบสร้าง/คำนวณ</t>
        </is>
      </c>
      <c r="I94" s="19" t="inlineStr"/>
    </row>
    <row r="95">
      <c r="A95" s="5" t="inlineStr">
        <is>
          <t>Doc_Checklist</t>
        </is>
      </c>
      <c r="B95" s="5" t="inlineStr">
        <is>
          <t>doc_type</t>
        </is>
      </c>
      <c r="C95" s="17" t="inlineStr">
        <is>
          <t>TEXT</t>
        </is>
      </c>
      <c r="D95" s="17" t="inlineStr">
        <is>
          <t>บังคับ</t>
        </is>
      </c>
      <c r="E95" s="18" t="inlineStr">
        <is>
          <t>FK</t>
        </is>
      </c>
      <c r="F95" s="5" t="inlineStr">
        <is>
          <t>Doc_Templates.doc_type</t>
        </is>
      </c>
      <c r="G95" s="5" t="inlineStr">
        <is>
          <t>ประเภทเอกสาร</t>
        </is>
      </c>
      <c r="H95" s="17" t="inlineStr">
        <is>
          <t>ระบบสร้าง/คำนวณ</t>
        </is>
      </c>
      <c r="I95" s="19" t="inlineStr"/>
    </row>
    <row r="96">
      <c r="A96" s="5" t="inlineStr">
        <is>
          <t>Doc_Checklist</t>
        </is>
      </c>
      <c r="B96" s="5" t="inlineStr">
        <is>
          <t>doc_name_th</t>
        </is>
      </c>
      <c r="C96" s="17" t="inlineStr">
        <is>
          <t>TEXT</t>
        </is>
      </c>
      <c r="D96" s="17" t="inlineStr">
        <is>
          <t>บังคับ</t>
        </is>
      </c>
      <c r="E96" s="18" t="inlineStr"/>
      <c r="F96" s="5" t="inlineStr">
        <is>
          <t>ใบแจ้งหนี้</t>
        </is>
      </c>
      <c r="G96" s="5" t="inlineStr">
        <is>
          <t>ชื่อที่ผู้ใช้เห็น</t>
        </is>
      </c>
      <c r="H96" s="17" t="inlineStr">
        <is>
          <t>ระบบสร้าง/คำนวณ</t>
        </is>
      </c>
      <c r="I96" s="19" t="inlineStr"/>
    </row>
    <row r="97">
      <c r="A97" s="5" t="inlineStr">
        <is>
          <t>Doc_Checklist</t>
        </is>
      </c>
      <c r="B97" s="5" t="inlineStr">
        <is>
          <t>owner_dept</t>
        </is>
      </c>
      <c r="C97" s="17" t="inlineStr">
        <is>
          <t>ENUM</t>
        </is>
      </c>
      <c r="D97" s="17" t="inlineStr">
        <is>
          <t>บังคับ</t>
        </is>
      </c>
      <c r="E97" s="18" t="inlineStr"/>
      <c r="F97" s="5" t="inlineStr">
        <is>
          <t>SR / QC / LS / WH / AC</t>
        </is>
      </c>
      <c r="G97" s="5" t="inlineStr">
        <is>
          <t>แผนกเจ้าของเอกสารใบนี้</t>
        </is>
      </c>
      <c r="H97" s="17" t="inlineStr">
        <is>
          <t>ระบบสร้าง/คำนวณ</t>
        </is>
      </c>
      <c r="I97" s="19" t="inlineStr"/>
    </row>
    <row r="98">
      <c r="A98" s="5" t="inlineStr">
        <is>
          <t>Doc_Checklist</t>
        </is>
      </c>
      <c r="B98" s="5" t="inlineStr">
        <is>
          <t>is_required</t>
        </is>
      </c>
      <c r="C98" s="17" t="inlineStr">
        <is>
          <t>BOOLEAN</t>
        </is>
      </c>
      <c r="D98" s="17" t="inlineStr">
        <is>
          <t>บังคับ</t>
        </is>
      </c>
      <c r="E98" s="18" t="inlineStr"/>
      <c r="F98" s="5" t="inlineStr">
        <is>
          <t>TRUE / FALSE</t>
        </is>
      </c>
      <c r="G98" s="5" t="inlineStr">
        <is>
          <t>บังคับหรือไม่</t>
        </is>
      </c>
      <c r="H98" s="17" t="inlineStr">
        <is>
          <t>ระบบสร้าง/คำนวณ</t>
        </is>
      </c>
      <c r="I98" s="19" t="inlineStr"/>
    </row>
    <row r="99">
      <c r="A99" s="5" t="inlineStr">
        <is>
          <t>Doc_Checklist</t>
        </is>
      </c>
      <c r="B99" s="5" t="inlineStr">
        <is>
          <t>stage_code</t>
        </is>
      </c>
      <c r="C99" s="17" t="inlineStr">
        <is>
          <t>TEXT</t>
        </is>
      </c>
      <c r="D99" s="17" t="inlineStr">
        <is>
          <t>บังคับ</t>
        </is>
      </c>
      <c r="E99" s="18" t="inlineStr"/>
      <c r="F99" s="5" t="inlineStr">
        <is>
          <t>INVOICE_RECEIVED</t>
        </is>
      </c>
      <c r="G99" s="5" t="inlineStr">
        <is>
          <t>เอกสารใบนี้เกิดที่ขั้นไหน</t>
        </is>
      </c>
      <c r="H99" s="17" t="inlineStr">
        <is>
          <t>ระบบสร้าง/คำนวณ</t>
        </is>
      </c>
      <c r="I99" s="19" t="inlineStr"/>
    </row>
    <row r="100">
      <c r="A100" s="5" t="inlineStr">
        <is>
          <t>Doc_Checklist</t>
        </is>
      </c>
      <c r="B100" s="5" t="inlineStr">
        <is>
          <t>doc_status</t>
        </is>
      </c>
      <c r="C100" s="17" t="inlineStr">
        <is>
          <t>ENUM</t>
        </is>
      </c>
      <c r="D100" s="17" t="inlineStr">
        <is>
          <t>บังคับ</t>
        </is>
      </c>
      <c r="E100" s="18" t="inlineStr"/>
      <c r="F100" s="5" t="inlineStr">
        <is>
          <t>WAITING / UPLOADED / APPROVED / REJECTED / NA</t>
        </is>
      </c>
      <c r="G100" s="5" t="inlineStr">
        <is>
          <t>สถานะเอกสาร</t>
        </is>
      </c>
      <c r="H100" s="17" t="inlineStr">
        <is>
          <t>ระบบสร้าง/คำนวณ</t>
        </is>
      </c>
      <c r="I100" s="19" t="inlineStr"/>
    </row>
    <row r="101">
      <c r="A101" s="5" t="inlineStr">
        <is>
          <t>Doc_Checklist</t>
        </is>
      </c>
      <c r="B101" s="5" t="inlineStr">
        <is>
          <t>current_doc_id</t>
        </is>
      </c>
      <c r="C101" s="17" t="inlineStr">
        <is>
          <t>FILE_ID</t>
        </is>
      </c>
      <c r="D101" s="17" t="inlineStr">
        <is>
          <t>ไม่บังคับ</t>
        </is>
      </c>
      <c r="E101" s="18" t="inlineStr">
        <is>
          <t>FK</t>
        </is>
      </c>
      <c r="F101" s="5" t="inlineStr">
        <is>
          <t>Documents.doc_id</t>
        </is>
      </c>
      <c r="G101" s="5" t="inlineStr">
        <is>
          <t>ไฟล์เวอร์ชันปัจจุบัน</t>
        </is>
      </c>
      <c r="H101" s="17" t="inlineStr">
        <is>
          <t>ระบบสร้าง/คำนวณ</t>
        </is>
      </c>
      <c r="I101" s="19" t="inlineStr"/>
    </row>
    <row r="102">
      <c r="A102" s="5" t="inlineStr">
        <is>
          <t>Doc_Checklist</t>
        </is>
      </c>
      <c r="B102" s="5" t="inlineStr">
        <is>
          <t>amount</t>
        </is>
      </c>
      <c r="C102" s="17" t="inlineStr">
        <is>
          <t>NUMBER</t>
        </is>
      </c>
      <c r="D102" s="17" t="inlineStr">
        <is>
          <t>ไม่บังคับ</t>
        </is>
      </c>
      <c r="E102" s="18" t="inlineStr"/>
      <c r="F102" s="5" t="inlineStr"/>
      <c r="G102" s="5" t="inlineStr">
        <is>
          <t>ยอดบนเอกสาร ใช้เทียบ 3 ทาง</t>
        </is>
      </c>
      <c r="H102" s="23" t="inlineStr">
        <is>
          <t>คนกรอก</t>
        </is>
      </c>
      <c r="I102" s="19" t="inlineStr"/>
    </row>
    <row r="103">
      <c r="A103" s="5" t="inlineStr">
        <is>
          <t>Doc_Checklist</t>
        </is>
      </c>
      <c r="B103" s="5" t="inlineStr">
        <is>
          <t>qty</t>
        </is>
      </c>
      <c r="C103" s="17" t="inlineStr">
        <is>
          <t>NUMBER</t>
        </is>
      </c>
      <c r="D103" s="17" t="inlineStr">
        <is>
          <t>ไม่บังคับ</t>
        </is>
      </c>
      <c r="E103" s="18" t="inlineStr"/>
      <c r="F103" s="5" t="inlineStr"/>
      <c r="G103" s="5" t="inlineStr">
        <is>
          <t>จำนวนบนเอกสาร</t>
        </is>
      </c>
      <c r="H103" s="23" t="inlineStr">
        <is>
          <t>คนกรอก</t>
        </is>
      </c>
      <c r="I103" s="19" t="inlineStr"/>
    </row>
    <row r="104">
      <c r="A104" s="5" t="inlineStr">
        <is>
          <t>Doc_Checklist</t>
        </is>
      </c>
      <c r="B104" s="5" t="inlineStr">
        <is>
          <t>currency</t>
        </is>
      </c>
      <c r="C104" s="17" t="inlineStr">
        <is>
          <t>TEXT</t>
        </is>
      </c>
      <c r="D104" s="17" t="inlineStr">
        <is>
          <t>ไม่บังคับ</t>
        </is>
      </c>
      <c r="E104" s="18" t="inlineStr"/>
      <c r="F104" s="5" t="inlineStr">
        <is>
          <t>THB</t>
        </is>
      </c>
      <c r="G104" s="5" t="inlineStr">
        <is>
          <t>สกุลเงิน</t>
        </is>
      </c>
      <c r="H104" s="23" t="inlineStr">
        <is>
          <t>คนกรอก</t>
        </is>
      </c>
      <c r="I104" s="19" t="inlineStr"/>
    </row>
    <row r="105">
      <c r="A105" s="5" t="inlineStr">
        <is>
          <t>Doc_Checklist</t>
        </is>
      </c>
      <c r="B105" s="5" t="inlineStr">
        <is>
          <t>tracking_no</t>
        </is>
      </c>
      <c r="C105" s="17" t="inlineStr">
        <is>
          <t>TEXT</t>
        </is>
      </c>
      <c r="D105" s="17" t="inlineStr">
        <is>
          <t>ไม่บังคับ</t>
        </is>
      </c>
      <c r="E105" s="18" t="inlineStr"/>
      <c r="F105" s="5" t="inlineStr">
        <is>
          <t>EX123456789TH</t>
        </is>
      </c>
      <c r="G105" s="5" t="inlineStr">
        <is>
          <t>เลขพัสดุ สำหรับเอกสารตัวจริง</t>
        </is>
      </c>
      <c r="H105" s="23" t="inlineStr">
        <is>
          <t>คนกรอก</t>
        </is>
      </c>
      <c r="I105" s="19" t="inlineStr"/>
    </row>
    <row r="106">
      <c r="A106" s="5" t="inlineStr">
        <is>
          <t>Doc_Checklist</t>
        </is>
      </c>
      <c r="B106" s="5" t="inlineStr">
        <is>
          <t>sent_at</t>
        </is>
      </c>
      <c r="C106" s="17" t="inlineStr">
        <is>
          <t>DATE</t>
        </is>
      </c>
      <c r="D106" s="17" t="inlineStr">
        <is>
          <t>ไม่บังคับ</t>
        </is>
      </c>
      <c r="E106" s="18" t="inlineStr"/>
      <c r="F106" s="5" t="inlineStr"/>
      <c r="G106" s="5" t="inlineStr">
        <is>
          <t>วันที่ส่งเอกสารตัวจริง</t>
        </is>
      </c>
      <c r="H106" s="23" t="inlineStr">
        <is>
          <t>คนกรอก</t>
        </is>
      </c>
      <c r="I106" s="19" t="inlineStr"/>
    </row>
    <row r="107">
      <c r="A107" s="5" t="inlineStr">
        <is>
          <t>Doc_Checklist</t>
        </is>
      </c>
      <c r="B107" s="5" t="inlineStr">
        <is>
          <t>received_by</t>
        </is>
      </c>
      <c r="C107" s="17" t="inlineStr">
        <is>
          <t>TEXT</t>
        </is>
      </c>
      <c r="D107" s="17" t="inlineStr">
        <is>
          <t>ไม่บังคับ</t>
        </is>
      </c>
      <c r="E107" s="18" t="inlineStr"/>
      <c r="F107" s="5" t="inlineStr"/>
      <c r="G107" s="5" t="inlineStr">
        <is>
          <t>ผู้รับเอกสารตัวจริง</t>
        </is>
      </c>
      <c r="H107" s="23" t="inlineStr">
        <is>
          <t>คนกรอก</t>
        </is>
      </c>
      <c r="I107" s="19" t="inlineStr"/>
    </row>
    <row r="108">
      <c r="A108" s="5" t="inlineStr">
        <is>
          <t>Doc_Checklist</t>
        </is>
      </c>
      <c r="B108" s="5" t="inlineStr">
        <is>
          <t>received_at</t>
        </is>
      </c>
      <c r="C108" s="17" t="inlineStr">
        <is>
          <t>DATE</t>
        </is>
      </c>
      <c r="D108" s="17" t="inlineStr">
        <is>
          <t>ไม่บังคับ</t>
        </is>
      </c>
      <c r="E108" s="18" t="inlineStr"/>
      <c r="F108" s="5" t="inlineStr"/>
      <c r="G108" s="5" t="inlineStr">
        <is>
          <t>วันที่รับเอกสารตัวจริง</t>
        </is>
      </c>
      <c r="H108" s="23" t="inlineStr">
        <is>
          <t>คนกรอก</t>
        </is>
      </c>
      <c r="I108" s="19" t="inlineStr"/>
    </row>
    <row r="109">
      <c r="A109" s="5" t="inlineStr">
        <is>
          <t>Doc_Checklist</t>
        </is>
      </c>
      <c r="B109" s="5" t="inlineStr">
        <is>
          <t>reject_reason</t>
        </is>
      </c>
      <c r="C109" s="17" t="inlineStr">
        <is>
          <t>TEXT</t>
        </is>
      </c>
      <c r="D109" s="17" t="inlineStr">
        <is>
          <t>ไม่บังคับ</t>
        </is>
      </c>
      <c r="E109" s="18" t="inlineStr"/>
      <c r="F109" s="5" t="inlineStr"/>
      <c r="G109" s="5" t="inlineStr">
        <is>
          <t>เหตุผลที่ตีกลับเอกสาร</t>
        </is>
      </c>
      <c r="H109" s="23" t="inlineStr">
        <is>
          <t>คนกรอก</t>
        </is>
      </c>
      <c r="I109" s="19" t="inlineStr"/>
    </row>
    <row r="110">
      <c r="A110" s="5" t="inlineStr">
        <is>
          <t>Doc_Checklist</t>
        </is>
      </c>
      <c r="B110" s="5" t="inlineStr">
        <is>
          <t>updated_by</t>
        </is>
      </c>
      <c r="C110" s="17" t="inlineStr">
        <is>
          <t>TEXT</t>
        </is>
      </c>
      <c r="D110" s="17" t="inlineStr">
        <is>
          <t>ไม่บังคับ</t>
        </is>
      </c>
      <c r="E110" s="18" t="inlineStr"/>
      <c r="F110" s="5" t="inlineStr"/>
      <c r="G110" s="5" t="inlineStr"/>
      <c r="H110" s="17" t="inlineStr">
        <is>
          <t>ระบบสร้าง/คำนวณ</t>
        </is>
      </c>
      <c r="I110" s="19" t="inlineStr"/>
    </row>
    <row r="111">
      <c r="A111" s="5" t="inlineStr">
        <is>
          <t>Doc_Checklist</t>
        </is>
      </c>
      <c r="B111" s="5" t="inlineStr">
        <is>
          <t>updated_at</t>
        </is>
      </c>
      <c r="C111" s="17" t="inlineStr">
        <is>
          <t>DATETIME</t>
        </is>
      </c>
      <c r="D111" s="17" t="inlineStr">
        <is>
          <t>ไม่บังคับ</t>
        </is>
      </c>
      <c r="E111" s="18" t="inlineStr"/>
      <c r="F111" s="5" t="inlineStr"/>
      <c r="G111" s="5" t="inlineStr"/>
      <c r="H111" s="17" t="inlineStr">
        <is>
          <t>ระบบสร้าง/คำนวณ</t>
        </is>
      </c>
      <c r="I111" s="19" t="inlineStr"/>
    </row>
    <row r="112">
      <c r="A112" s="10" t="inlineStr">
        <is>
          <t>Documents</t>
        </is>
      </c>
      <c r="B112" s="5" t="inlineStr">
        <is>
          <t>doc_id</t>
        </is>
      </c>
      <c r="C112" s="17" t="inlineStr">
        <is>
          <t>UUID</t>
        </is>
      </c>
      <c r="D112" s="17" t="inlineStr">
        <is>
          <t>บังคับ</t>
        </is>
      </c>
      <c r="E112" s="18" t="inlineStr">
        <is>
          <t>PK</t>
        </is>
      </c>
      <c r="F112" s="5" t="inlineStr"/>
      <c r="G112" s="5" t="inlineStr">
        <is>
          <t>คีย์ภายใน</t>
        </is>
      </c>
      <c r="H112" s="17" t="inlineStr">
        <is>
          <t>ระบบสร้าง/คำนวณ</t>
        </is>
      </c>
      <c r="I112" s="19" t="inlineStr"/>
    </row>
    <row r="113">
      <c r="A113" s="5" t="inlineStr">
        <is>
          <t>Documents</t>
        </is>
      </c>
      <c r="B113" s="5" t="inlineStr">
        <is>
          <t>ref_type</t>
        </is>
      </c>
      <c r="C113" s="17" t="inlineStr">
        <is>
          <t>ENUM</t>
        </is>
      </c>
      <c r="D113" s="17" t="inlineStr">
        <is>
          <t>บังคับ</t>
        </is>
      </c>
      <c r="E113" s="18" t="inlineStr"/>
      <c r="F113" s="5" t="inlineStr">
        <is>
          <t>PO / CLAIM / ITEM_REQ / PAYMENT / QUOTE</t>
        </is>
      </c>
      <c r="G113" s="5" t="inlineStr">
        <is>
          <t>ไฟล์นี้ผูกกับเอกสารประเภทไหน</t>
        </is>
      </c>
      <c r="H113" s="17" t="inlineStr">
        <is>
          <t>ระบบสร้าง/คำนวณ</t>
        </is>
      </c>
      <c r="I113" s="19" t="inlineStr"/>
    </row>
    <row r="114">
      <c r="A114" s="5" t="inlineStr">
        <is>
          <t>Documents</t>
        </is>
      </c>
      <c r="B114" s="5" t="inlineStr">
        <is>
          <t>ref_no</t>
        </is>
      </c>
      <c r="C114" s="17" t="inlineStr">
        <is>
          <t>TEXT</t>
        </is>
      </c>
      <c r="D114" s="17" t="inlineStr">
        <is>
          <t>บังคับ</t>
        </is>
      </c>
      <c r="E114" s="18" t="inlineStr"/>
      <c r="F114" s="5" t="inlineStr">
        <is>
          <t>PO-26-0042 หรือ PO-26-0042#2</t>
        </is>
      </c>
      <c r="G114" s="5" t="inlineStr">
        <is>
          <t>เลขเอกสารแม่ — บังคับ ห้ามว่าง ไม่มีไฟล์ลอย</t>
        </is>
      </c>
      <c r="H114" s="17" t="inlineStr">
        <is>
          <t>ระบบสร้าง/คำนวณ</t>
        </is>
      </c>
      <c r="I114" s="19" t="inlineStr"/>
    </row>
    <row r="115">
      <c r="A115" s="5" t="inlineStr">
        <is>
          <t>Documents</t>
        </is>
      </c>
      <c r="B115" s="5" t="inlineStr">
        <is>
          <t>doc_type</t>
        </is>
      </c>
      <c r="C115" s="17" t="inlineStr">
        <is>
          <t>TEXT</t>
        </is>
      </c>
      <c r="D115" s="17" t="inlineStr">
        <is>
          <t>บังคับ</t>
        </is>
      </c>
      <c r="E115" s="18" t="inlineStr"/>
      <c r="F115" s="5" t="inlineStr">
        <is>
          <t>INVOICE</t>
        </is>
      </c>
      <c r="G115" s="5" t="inlineStr">
        <is>
          <t>ประเภทเอกสาร</t>
        </is>
      </c>
      <c r="H115" s="17" t="inlineStr">
        <is>
          <t>ระบบสร้าง/คำนวณ</t>
        </is>
      </c>
      <c r="I115" s="19" t="inlineStr"/>
    </row>
    <row r="116">
      <c r="A116" s="5" t="inlineStr">
        <is>
          <t>Documents</t>
        </is>
      </c>
      <c r="B116" s="5" t="inlineStr">
        <is>
          <t>drive_file_id</t>
        </is>
      </c>
      <c r="C116" s="17" t="inlineStr">
        <is>
          <t>FILE_ID</t>
        </is>
      </c>
      <c r="D116" s="17" t="inlineStr">
        <is>
          <t>บังคับ</t>
        </is>
      </c>
      <c r="E116" s="18" t="inlineStr"/>
      <c r="F116" s="5" t="inlineStr"/>
      <c r="G116" s="5" t="inlineStr">
        <is>
          <t>ไอดีไฟล์ใน Google Drive</t>
        </is>
      </c>
      <c r="H116" s="17" t="inlineStr">
        <is>
          <t>ระบบสร้าง/คำนวณ</t>
        </is>
      </c>
      <c r="I116" s="19" t="inlineStr"/>
    </row>
    <row r="117">
      <c r="A117" s="5" t="inlineStr">
        <is>
          <t>Documents</t>
        </is>
      </c>
      <c r="B117" s="5" t="inlineStr">
        <is>
          <t>file_name</t>
        </is>
      </c>
      <c r="C117" s="17" t="inlineStr">
        <is>
          <t>TEXT</t>
        </is>
      </c>
      <c r="D117" s="17" t="inlineStr">
        <is>
          <t>บังคับ</t>
        </is>
      </c>
      <c r="E117" s="18" t="inlineStr"/>
      <c r="F117" s="5" t="inlineStr">
        <is>
          <t>SLIP_PO-26-0042_s2_20260830.pdf</t>
        </is>
      </c>
      <c r="G117" s="5" t="inlineStr">
        <is>
          <t>ระบบตั้งชื่อให้เอง ไม่ฝากไว้กับวินัยคน</t>
        </is>
      </c>
      <c r="H117" s="17" t="inlineStr">
        <is>
          <t>ระบบสร้าง/คำนวณ</t>
        </is>
      </c>
      <c r="I117" s="19" t="inlineStr"/>
    </row>
    <row r="118">
      <c r="A118" s="5" t="inlineStr">
        <is>
          <t>Documents</t>
        </is>
      </c>
      <c r="B118" s="5" t="inlineStr">
        <is>
          <t>file_url</t>
        </is>
      </c>
      <c r="C118" s="17" t="inlineStr">
        <is>
          <t>TEXT</t>
        </is>
      </c>
      <c r="D118" s="17" t="inlineStr">
        <is>
          <t>บังคับ</t>
        </is>
      </c>
      <c r="E118" s="18" t="inlineStr"/>
      <c r="F118" s="5" t="inlineStr"/>
      <c r="G118" s="5" t="inlineStr">
        <is>
          <t>ลิงก์เปิดไฟล์</t>
        </is>
      </c>
      <c r="H118" s="17" t="inlineStr">
        <is>
          <t>ระบบสร้าง/คำนวณ</t>
        </is>
      </c>
      <c r="I118" s="19" t="inlineStr"/>
    </row>
    <row r="119">
      <c r="A119" s="5" t="inlineStr">
        <is>
          <t>Documents</t>
        </is>
      </c>
      <c r="B119" s="5" t="inlineStr">
        <is>
          <t>mime_type</t>
        </is>
      </c>
      <c r="C119" s="17" t="inlineStr">
        <is>
          <t>TEXT</t>
        </is>
      </c>
      <c r="D119" s="17" t="inlineStr">
        <is>
          <t>บังคับ</t>
        </is>
      </c>
      <c r="E119" s="18" t="inlineStr"/>
      <c r="F119" s="5" t="inlineStr">
        <is>
          <t>application/pdf</t>
        </is>
      </c>
      <c r="G119" s="5" t="inlineStr">
        <is>
          <t>ชนิดไฟล์</t>
        </is>
      </c>
      <c r="H119" s="17" t="inlineStr">
        <is>
          <t>ระบบสร้าง/คำนวณ</t>
        </is>
      </c>
      <c r="I119" s="19" t="inlineStr"/>
    </row>
    <row r="120">
      <c r="A120" s="5" t="inlineStr">
        <is>
          <t>Documents</t>
        </is>
      </c>
      <c r="B120" s="5" t="inlineStr">
        <is>
          <t>size_bytes</t>
        </is>
      </c>
      <c r="C120" s="17" t="inlineStr">
        <is>
          <t>NUMBER</t>
        </is>
      </c>
      <c r="D120" s="17" t="inlineStr">
        <is>
          <t>บังคับ</t>
        </is>
      </c>
      <c r="E120" s="18" t="inlineStr"/>
      <c r="F120" s="5" t="inlineStr">
        <is>
          <t>284000</t>
        </is>
      </c>
      <c r="G120" s="5" t="inlineStr">
        <is>
          <t>ขนาดหลังบีบอัด</t>
        </is>
      </c>
      <c r="H120" s="17" t="inlineStr">
        <is>
          <t>ระบบสร้าง/คำนวณ</t>
        </is>
      </c>
      <c r="I120" s="19" t="inlineStr"/>
    </row>
    <row r="121">
      <c r="A121" s="5" t="inlineStr">
        <is>
          <t>Documents</t>
        </is>
      </c>
      <c r="B121" s="5" t="inlineStr">
        <is>
          <t>version</t>
        </is>
      </c>
      <c r="C121" s="17" t="inlineStr">
        <is>
          <t>NUMBER</t>
        </is>
      </c>
      <c r="D121" s="17" t="inlineStr">
        <is>
          <t>บังคับ</t>
        </is>
      </c>
      <c r="E121" s="18" t="inlineStr"/>
      <c r="F121" s="5" t="inlineStr">
        <is>
          <t>1, 2, 3</t>
        </is>
      </c>
      <c r="G121" s="5" t="inlineStr">
        <is>
          <t>เวอร์ชันที่เท่าไหร่</t>
        </is>
      </c>
      <c r="H121" s="17" t="inlineStr">
        <is>
          <t>ระบบสร้าง/คำนวณ</t>
        </is>
      </c>
      <c r="I121" s="19" t="inlineStr"/>
    </row>
    <row r="122">
      <c r="A122" s="5" t="inlineStr">
        <is>
          <t>Documents</t>
        </is>
      </c>
      <c r="B122" s="5" t="inlineStr">
        <is>
          <t>is_current</t>
        </is>
      </c>
      <c r="C122" s="17" t="inlineStr">
        <is>
          <t>BOOLEAN</t>
        </is>
      </c>
      <c r="D122" s="17" t="inlineStr">
        <is>
          <t>บังคับ</t>
        </is>
      </c>
      <c r="E122" s="18" t="inlineStr"/>
      <c r="F122" s="5" t="inlineStr">
        <is>
          <t>TRUE / FALSE</t>
        </is>
      </c>
      <c r="G122" s="5" t="inlineStr">
        <is>
          <t>เป็นฉบับล่าสุดหรือไม่ — ของเก่าไม่ลบ</t>
        </is>
      </c>
      <c r="H122" s="17" t="inlineStr">
        <is>
          <t>ระบบสร้าง/คำนวณ</t>
        </is>
      </c>
      <c r="I122" s="19" t="inlineStr"/>
    </row>
    <row r="123">
      <c r="A123" s="5" t="inlineStr">
        <is>
          <t>Documents</t>
        </is>
      </c>
      <c r="B123" s="5" t="inlineStr">
        <is>
          <t>supersedes_doc_id</t>
        </is>
      </c>
      <c r="C123" s="17" t="inlineStr">
        <is>
          <t>UUID</t>
        </is>
      </c>
      <c r="D123" s="17" t="inlineStr">
        <is>
          <t>ไม่บังคับ</t>
        </is>
      </c>
      <c r="E123" s="18" t="inlineStr">
        <is>
          <t>FK</t>
        </is>
      </c>
      <c r="F123" s="5" t="inlineStr">
        <is>
          <t>Documents.doc_id</t>
        </is>
      </c>
      <c r="G123" s="5" t="inlineStr">
        <is>
          <t>แทนที่ไฟล์ไหน</t>
        </is>
      </c>
      <c r="H123" s="17" t="inlineStr">
        <is>
          <t>ระบบสร้าง/คำนวณ</t>
        </is>
      </c>
      <c r="I123" s="19" t="inlineStr"/>
    </row>
    <row r="124">
      <c r="A124" s="5" t="inlineStr">
        <is>
          <t>Documents</t>
        </is>
      </c>
      <c r="B124" s="5" t="inlineStr">
        <is>
          <t>checksum_md5</t>
        </is>
      </c>
      <c r="C124" s="17" t="inlineStr">
        <is>
          <t>TEXT</t>
        </is>
      </c>
      <c r="D124" s="17" t="inlineStr">
        <is>
          <t>บังคับ</t>
        </is>
      </c>
      <c r="E124" s="18" t="inlineStr"/>
      <c r="F124" s="5" t="inlineStr"/>
      <c r="G124" s="5" t="inlineStr">
        <is>
          <t>ใช้กันอัพไฟล์ซ้ำ และเป็นหลักฐาน e-signature</t>
        </is>
      </c>
      <c r="H124" s="17" t="inlineStr">
        <is>
          <t>ระบบสร้าง/คำนวณ</t>
        </is>
      </c>
      <c r="I124" s="19" t="inlineStr"/>
    </row>
    <row r="125">
      <c r="A125" s="5" t="inlineStr">
        <is>
          <t>Documents</t>
        </is>
      </c>
      <c r="B125" s="5" t="inlineStr">
        <is>
          <t>uploaded_by</t>
        </is>
      </c>
      <c r="C125" s="17" t="inlineStr">
        <is>
          <t>TEXT</t>
        </is>
      </c>
      <c r="D125" s="17" t="inlineStr">
        <is>
          <t>บังคับ</t>
        </is>
      </c>
      <c r="E125" s="18" t="inlineStr">
        <is>
          <t>FK</t>
        </is>
      </c>
      <c r="F125" s="5" t="inlineStr">
        <is>
          <t>Users.email</t>
        </is>
      </c>
      <c r="G125" s="5" t="inlineStr">
        <is>
          <t>ผู้อัพโหลด</t>
        </is>
      </c>
      <c r="H125" s="17" t="inlineStr">
        <is>
          <t>ระบบสร้าง/คำนวณ</t>
        </is>
      </c>
      <c r="I125" s="19" t="inlineStr"/>
    </row>
    <row r="126">
      <c r="A126" s="5" t="inlineStr">
        <is>
          <t>Documents</t>
        </is>
      </c>
      <c r="B126" s="5" t="inlineStr">
        <is>
          <t>uploaded_at</t>
        </is>
      </c>
      <c r="C126" s="17" t="inlineStr">
        <is>
          <t>DATETIME</t>
        </is>
      </c>
      <c r="D126" s="17" t="inlineStr">
        <is>
          <t>บังคับ</t>
        </is>
      </c>
      <c r="E126" s="18" t="inlineStr"/>
      <c r="F126" s="5" t="inlineStr"/>
      <c r="G126" s="5" t="inlineStr">
        <is>
          <t>เวลาอัพโหลด</t>
        </is>
      </c>
      <c r="H126" s="17" t="inlineStr">
        <is>
          <t>ระบบสร้าง/คำนวณ</t>
        </is>
      </c>
      <c r="I126" s="19" t="inlineStr"/>
    </row>
    <row r="127">
      <c r="A127" s="5" t="inlineStr">
        <is>
          <t>Documents</t>
        </is>
      </c>
      <c r="B127" s="5" t="inlineStr">
        <is>
          <t>source</t>
        </is>
      </c>
      <c r="C127" s="17" t="inlineStr">
        <is>
          <t>ENUM</t>
        </is>
      </c>
      <c r="D127" s="17" t="inlineStr">
        <is>
          <t>บังคับ</t>
        </is>
      </c>
      <c r="E127" s="18" t="inlineStr"/>
      <c r="F127" s="5" t="inlineStr">
        <is>
          <t>WEB / LARK / EMAIL</t>
        </is>
      </c>
      <c r="G127" s="5" t="inlineStr">
        <is>
          <t>อัพจากช่องทางไหน</t>
        </is>
      </c>
      <c r="H127" s="17" t="inlineStr">
        <is>
          <t>ระบบสร้าง/คำนวณ</t>
        </is>
      </c>
      <c r="I127" s="19" t="inlineStr"/>
    </row>
    <row r="128">
      <c r="A128" s="5" t="inlineStr">
        <is>
          <t>Documents</t>
        </is>
      </c>
      <c r="B128" s="5" t="inlineStr">
        <is>
          <t>note</t>
        </is>
      </c>
      <c r="C128" s="17" t="inlineStr">
        <is>
          <t>TEXT</t>
        </is>
      </c>
      <c r="D128" s="17" t="inlineStr">
        <is>
          <t>ไม่บังคับ</t>
        </is>
      </c>
      <c r="E128" s="18" t="inlineStr"/>
      <c r="F128" s="5" t="inlineStr">
        <is>
          <t>ของมาไม่ครบ 5 KG</t>
        </is>
      </c>
      <c r="G128" s="5" t="inlineStr">
        <is>
          <t>หมายเหตุที่ผู้ใช้พิมพ์ในป๊อปอัปของขั้นนั้น</t>
        </is>
      </c>
      <c r="H128" s="23" t="inlineStr">
        <is>
          <t>คนกรอก</t>
        </is>
      </c>
      <c r="I128" s="19" t="inlineStr"/>
    </row>
    <row r="129">
      <c r="A129" s="5" t="inlineStr">
        <is>
          <t>Documents</t>
        </is>
      </c>
      <c r="B129" s="5" t="inlineStr">
        <is>
          <t>original_name</t>
        </is>
      </c>
      <c r="C129" s="17" t="inlineStr">
        <is>
          <t>TEXT</t>
        </is>
      </c>
      <c r="D129" s="17" t="inlineStr">
        <is>
          <t>บังคับ</t>
        </is>
      </c>
      <c r="E129" s="18" t="inlineStr"/>
      <c r="F129" s="5" t="inlineStr">
        <is>
          <t>scan_2026-08-08.pdf</t>
        </is>
      </c>
      <c r="G129" s="5" t="inlineStr">
        <is>
          <t>ชื่อไฟล์ที่ผู้ใช้เลือกมา — เก็บไว้สืบกลับ</t>
        </is>
      </c>
      <c r="H129" s="17" t="inlineStr">
        <is>
          <t>ระบบสร้าง/คำนวณ</t>
        </is>
      </c>
      <c r="I129" s="19" t="inlineStr"/>
    </row>
    <row r="130">
      <c r="A130" s="5" t="inlineStr">
        <is>
          <t>Documents</t>
        </is>
      </c>
      <c r="B130" s="5" t="inlineStr">
        <is>
          <t>system_name</t>
        </is>
      </c>
      <c r="C130" s="17" t="inlineStr">
        <is>
          <t>TEXT</t>
        </is>
      </c>
      <c r="D130" s="17" t="inlineStr">
        <is>
          <t>บังคับ</t>
        </is>
      </c>
      <c r="E130" s="18" t="inlineStr"/>
      <c r="F130" s="5" t="inlineStr">
        <is>
          <t>PO-26-0042_GR.jpg</t>
        </is>
      </c>
      <c r="G130" s="5" t="inlineStr">
        <is>
          <t>ชื่อที่ระบบตั้งให้ &lt;เลขรายการ&gt;_&lt;รหัสเอกสาร&gt;.&lt;นามสกุลเดิม&gt; — ผู้ใช้ไม่ต้องตั้งเอง</t>
        </is>
      </c>
      <c r="H130" s="17" t="inlineStr">
        <is>
          <t>ระบบสร้าง/คำนวณ</t>
        </is>
      </c>
      <c r="I130" s="19" t="inlineStr"/>
    </row>
    <row r="131">
      <c r="A131" s="5" t="inlineStr">
        <is>
          <t>Documents</t>
        </is>
      </c>
      <c r="B131" s="5" t="inlineStr">
        <is>
          <t>stage_code</t>
        </is>
      </c>
      <c r="C131" s="17" t="inlineStr">
        <is>
          <t>TEXT</t>
        </is>
      </c>
      <c r="D131" s="17" t="inlineStr">
        <is>
          <t>ไม่บังคับ</t>
        </is>
      </c>
      <c r="E131" s="18" t="inlineStr">
        <is>
          <t>FK</t>
        </is>
      </c>
      <c r="F131" s="5" t="inlineStr">
        <is>
          <t>Stage_Templates.stage_code</t>
        </is>
      </c>
      <c r="G131" s="5" t="inlineStr">
        <is>
          <t>แนบในขั้นไหน</t>
        </is>
      </c>
      <c r="H131" s="17" t="inlineStr">
        <is>
          <t>ระบบสร้าง/คำนวณ</t>
        </is>
      </c>
      <c r="I131" s="19" t="inlineStr"/>
    </row>
    <row r="132">
      <c r="A132" s="5" t="inlineStr">
        <is>
          <t>Documents</t>
        </is>
      </c>
      <c r="B132" s="5" t="inlineStr">
        <is>
          <t>is_merged</t>
        </is>
      </c>
      <c r="C132" s="17" t="inlineStr">
        <is>
          <t>BOOLEAN</t>
        </is>
      </c>
      <c r="D132" s="17" t="inlineStr">
        <is>
          <t>บังคับ</t>
        </is>
      </c>
      <c r="E132" s="18" t="inlineStr"/>
      <c r="F132" s="5" t="inlineStr">
        <is>
          <t>TRUE / FALSE</t>
        </is>
      </c>
      <c r="G132" s="5" t="inlineStr">
        <is>
          <t>ถูกรวมเข้าไฟล์ชุดแล้วหรือยัง</t>
        </is>
      </c>
      <c r="H132" s="17" t="inlineStr">
        <is>
          <t>ระบบสร้าง/คำนวณ</t>
        </is>
      </c>
      <c r="I132" s="19" t="inlineStr"/>
    </row>
    <row r="133">
      <c r="A133" s="5" t="inlineStr">
        <is>
          <t>Documents</t>
        </is>
      </c>
      <c r="B133" s="5" t="inlineStr">
        <is>
          <t>purge_after</t>
        </is>
      </c>
      <c r="C133" s="17" t="inlineStr">
        <is>
          <t>DATE</t>
        </is>
      </c>
      <c r="D133" s="17" t="inlineStr">
        <is>
          <t>ไม่บังคับ</t>
        </is>
      </c>
      <c r="E133" s="18" t="inlineStr"/>
      <c r="F133" s="5" t="inlineStr"/>
      <c r="G133" s="5" t="inlineStr">
        <is>
          <t>วันที่จะลบต้นฉบับ = bundle_at + MERGE_KEEP_DAYS</t>
        </is>
      </c>
      <c r="H133" s="17" t="inlineStr">
        <is>
          <t>ระบบสร้าง/คำนวณ</t>
        </is>
      </c>
      <c r="I133" s="19" t="inlineStr"/>
    </row>
    <row r="134">
      <c r="A134" s="5" t="inlineStr">
        <is>
          <t>Documents</t>
        </is>
      </c>
      <c r="B134" s="5" t="inlineStr">
        <is>
          <t>derived_from_doc_id</t>
        </is>
      </c>
      <c r="C134" s="17" t="inlineStr">
        <is>
          <t>UUID</t>
        </is>
      </c>
      <c r="D134" s="17" t="inlineStr">
        <is>
          <t>ไม่บังคับ</t>
        </is>
      </c>
      <c r="E134" s="18" t="inlineStr">
        <is>
          <t>FK</t>
        </is>
      </c>
      <c r="F134" s="5" t="inlineStr">
        <is>
          <t>Documents.doc_id</t>
        </is>
      </c>
      <c r="G134" s="5" t="inlineStr">
        <is>
          <t>ใช้กับไฟล์ที่ประทับข้อความ — ชี้กลับไปต้นฉบับที่ไม่ถูกแก้</t>
        </is>
      </c>
      <c r="H134" s="17" t="inlineStr">
        <is>
          <t>ระบบสร้าง/คำนวณ</t>
        </is>
      </c>
      <c r="I134" s="19" t="inlineStr"/>
    </row>
    <row r="135">
      <c r="A135" s="5" t="inlineStr">
        <is>
          <t>Documents</t>
        </is>
      </c>
      <c r="B135" s="5" t="inlineStr">
        <is>
          <t>stamp_json</t>
        </is>
      </c>
      <c r="C135" s="17" t="inlineStr">
        <is>
          <t>TEXT</t>
        </is>
      </c>
      <c r="D135" s="17" t="inlineStr">
        <is>
          <t>ไม่บังคับ</t>
        </is>
      </c>
      <c r="E135" s="18" t="inlineStr"/>
      <c r="F135" s="5" t="inlineStr">
        <is>
          <t>{"text":"...","pos":"BR","size":13}</t>
        </is>
      </c>
      <c r="G135" s="5" t="inlineStr">
        <is>
          <t>ข้อความ ตำแหน่ง ขนาด สี ที่ใช้ประทับลงเอกสาร</t>
        </is>
      </c>
      <c r="H135" s="17" t="inlineStr">
        <is>
          <t>ระบบสร้าง/คำนวณ</t>
        </is>
      </c>
      <c r="I135" s="19" t="inlineStr"/>
    </row>
    <row r="136">
      <c r="A136" s="10" t="inlineStr">
        <is>
          <t>Approvals</t>
        </is>
      </c>
      <c r="B136" s="5" t="inlineStr">
        <is>
          <t>approval_id</t>
        </is>
      </c>
      <c r="C136" s="17" t="inlineStr">
        <is>
          <t>UUID</t>
        </is>
      </c>
      <c r="D136" s="17" t="inlineStr">
        <is>
          <t>บังคับ</t>
        </is>
      </c>
      <c r="E136" s="18" t="inlineStr">
        <is>
          <t>PK</t>
        </is>
      </c>
      <c r="F136" s="5" t="inlineStr"/>
      <c r="G136" s="5" t="inlineStr">
        <is>
          <t>คีย์ภายใน</t>
        </is>
      </c>
      <c r="H136" s="17" t="inlineStr">
        <is>
          <t>ระบบสร้าง/คำนวณ</t>
        </is>
      </c>
      <c r="I136" s="19" t="inlineStr"/>
    </row>
    <row r="137">
      <c r="A137" s="5" t="inlineStr">
        <is>
          <t>Approvals</t>
        </is>
      </c>
      <c r="B137" s="5" t="inlineStr">
        <is>
          <t>ref_type</t>
        </is>
      </c>
      <c r="C137" s="17" t="inlineStr">
        <is>
          <t>ENUM</t>
        </is>
      </c>
      <c r="D137" s="17" t="inlineStr">
        <is>
          <t>บังคับ</t>
        </is>
      </c>
      <c r="E137" s="18" t="inlineStr"/>
      <c r="F137" s="5" t="inlineStr">
        <is>
          <t>PO / PAYMENT / CLAIM / ITEM_REQ</t>
        </is>
      </c>
      <c r="G137" s="5" t="inlineStr">
        <is>
          <t>อนุมัติอะไร</t>
        </is>
      </c>
      <c r="H137" s="17" t="inlineStr">
        <is>
          <t>ระบบสร้าง/คำนวณ</t>
        </is>
      </c>
      <c r="I137" s="19" t="inlineStr"/>
    </row>
    <row r="138">
      <c r="A138" s="5" t="inlineStr">
        <is>
          <t>Approvals</t>
        </is>
      </c>
      <c r="B138" s="5" t="inlineStr">
        <is>
          <t>ref_no</t>
        </is>
      </c>
      <c r="C138" s="17" t="inlineStr">
        <is>
          <t>TEXT</t>
        </is>
      </c>
      <c r="D138" s="17" t="inlineStr">
        <is>
          <t>บังคับ</t>
        </is>
      </c>
      <c r="E138" s="18" t="inlineStr"/>
      <c r="F138" s="5" t="inlineStr">
        <is>
          <t>PO-26-0042</t>
        </is>
      </c>
      <c r="G138" s="5" t="inlineStr">
        <is>
          <t>เลขเอกสารที่ขออนุมัติ</t>
        </is>
      </c>
      <c r="H138" s="17" t="inlineStr">
        <is>
          <t>ระบบสร้าง/คำนวณ</t>
        </is>
      </c>
      <c r="I138" s="19" t="inlineStr"/>
    </row>
    <row r="139">
      <c r="A139" s="5" t="inlineStr">
        <is>
          <t>Approvals</t>
        </is>
      </c>
      <c r="B139" s="5" t="inlineStr">
        <is>
          <t>doc_id</t>
        </is>
      </c>
      <c r="C139" s="17" t="inlineStr">
        <is>
          <t>UUID</t>
        </is>
      </c>
      <c r="D139" s="17" t="inlineStr">
        <is>
          <t>ไม่บังคับ</t>
        </is>
      </c>
      <c r="E139" s="18" t="inlineStr">
        <is>
          <t>FK</t>
        </is>
      </c>
      <c r="F139" s="5" t="inlineStr">
        <is>
          <t>Documents.doc_id</t>
        </is>
      </c>
      <c r="G139" s="5" t="inlineStr">
        <is>
          <t>ไฟล์ที่เซ็น (ถ้ามี)</t>
        </is>
      </c>
      <c r="H139" s="17" t="inlineStr">
        <is>
          <t>ระบบสร้าง/คำนวณ</t>
        </is>
      </c>
      <c r="I139" s="19" t="inlineStr"/>
    </row>
    <row r="140">
      <c r="A140" s="5" t="inlineStr">
        <is>
          <t>Approvals</t>
        </is>
      </c>
      <c r="B140" s="5" t="inlineStr">
        <is>
          <t>approval_round</t>
        </is>
      </c>
      <c r="C140" s="17" t="inlineStr">
        <is>
          <t>NUMBER</t>
        </is>
      </c>
      <c r="D140" s="17" t="inlineStr">
        <is>
          <t>บังคับ</t>
        </is>
      </c>
      <c r="E140" s="18" t="inlineStr"/>
      <c r="F140" s="5" t="inlineStr">
        <is>
          <t>1</t>
        </is>
      </c>
      <c r="G140" s="5" t="inlineStr">
        <is>
          <t>รอบที่เท่าไหร่ (ตีกลับแล้วส่งใหม่ = รอบใหม่)</t>
        </is>
      </c>
      <c r="H140" s="17" t="inlineStr">
        <is>
          <t>ระบบสร้าง/คำนวณ</t>
        </is>
      </c>
      <c r="I140" s="19" t="inlineStr"/>
    </row>
    <row r="141">
      <c r="A141" s="5" t="inlineStr">
        <is>
          <t>Approvals</t>
        </is>
      </c>
      <c r="B141" s="5" t="inlineStr">
        <is>
          <t>seq</t>
        </is>
      </c>
      <c r="C141" s="17" t="inlineStr">
        <is>
          <t>NUMBER</t>
        </is>
      </c>
      <c r="D141" s="17" t="inlineStr">
        <is>
          <t>บังคับ</t>
        </is>
      </c>
      <c r="E141" s="18" t="inlineStr"/>
      <c r="F141" s="5" t="inlineStr">
        <is>
          <t>1, 2</t>
        </is>
      </c>
      <c r="G141" s="5" t="inlineStr">
        <is>
          <t>ลำดับผู้เซ็นในรอบนั้น</t>
        </is>
      </c>
      <c r="H141" s="17" t="inlineStr">
        <is>
          <t>ระบบสร้าง/คำนวณ</t>
        </is>
      </c>
      <c r="I141" s="19" t="inlineStr"/>
    </row>
    <row r="142">
      <c r="A142" s="5" t="inlineStr">
        <is>
          <t>Approvals</t>
        </is>
      </c>
      <c r="B142" s="5" t="inlineStr">
        <is>
          <t>approver_email</t>
        </is>
      </c>
      <c r="C142" s="17" t="inlineStr">
        <is>
          <t>TEXT</t>
        </is>
      </c>
      <c r="D142" s="17" t="inlineStr">
        <is>
          <t>บังคับ</t>
        </is>
      </c>
      <c r="E142" s="18" t="inlineStr">
        <is>
          <t>FK</t>
        </is>
      </c>
      <c r="F142" s="5" t="inlineStr">
        <is>
          <t>Users.email</t>
        </is>
      </c>
      <c r="G142" s="5" t="inlineStr">
        <is>
          <t>ผู้อนุมัติ</t>
        </is>
      </c>
      <c r="H142" s="17" t="inlineStr">
        <is>
          <t>ระบบสร้าง/คำนวณ</t>
        </is>
      </c>
      <c r="I142" s="19" t="inlineStr"/>
    </row>
    <row r="143">
      <c r="A143" s="5" t="inlineStr">
        <is>
          <t>Approvals</t>
        </is>
      </c>
      <c r="B143" s="5" t="inlineStr">
        <is>
          <t>approver_role</t>
        </is>
      </c>
      <c r="C143" s="17" t="inlineStr">
        <is>
          <t>TEXT</t>
        </is>
      </c>
      <c r="D143" s="17" t="inlineStr">
        <is>
          <t>บังคับ</t>
        </is>
      </c>
      <c r="E143" s="18" t="inlineStr"/>
      <c r="F143" s="5" t="inlineStr">
        <is>
          <t>SR Head / GM / AC Head</t>
        </is>
      </c>
      <c r="G143" s="5" t="inlineStr">
        <is>
          <t>ตำแหน่งที่ใช้อนุมัติ</t>
        </is>
      </c>
      <c r="H143" s="17" t="inlineStr">
        <is>
          <t>ระบบสร้าง/คำนวณ</t>
        </is>
      </c>
      <c r="I143" s="19" t="inlineStr"/>
    </row>
    <row r="144">
      <c r="A144" s="5" t="inlineStr">
        <is>
          <t>Approvals</t>
        </is>
      </c>
      <c r="B144" s="5" t="inlineStr">
        <is>
          <t>decision</t>
        </is>
      </c>
      <c r="C144" s="17" t="inlineStr">
        <is>
          <t>ENUM</t>
        </is>
      </c>
      <c r="D144" s="17" t="inlineStr">
        <is>
          <t>บังคับ</t>
        </is>
      </c>
      <c r="E144" s="18" t="inlineStr"/>
      <c r="F144" s="5" t="inlineStr">
        <is>
          <t>PENDING / APPROVED / REJECTED</t>
        </is>
      </c>
      <c r="G144" s="5" t="inlineStr">
        <is>
          <t>ผลการตัดสิน</t>
        </is>
      </c>
      <c r="H144" s="23" t="inlineStr">
        <is>
          <t>คนกรอก</t>
        </is>
      </c>
      <c r="I144" s="19" t="inlineStr"/>
    </row>
    <row r="145">
      <c r="A145" s="5" t="inlineStr">
        <is>
          <t>Approvals</t>
        </is>
      </c>
      <c r="B145" s="5" t="inlineStr">
        <is>
          <t>decided_at</t>
        </is>
      </c>
      <c r="C145" s="17" t="inlineStr">
        <is>
          <t>DATETIME</t>
        </is>
      </c>
      <c r="D145" s="17" t="inlineStr">
        <is>
          <t>ไม่บังคับ</t>
        </is>
      </c>
      <c r="E145" s="18" t="inlineStr"/>
      <c r="F145" s="5" t="inlineStr"/>
      <c r="G145" s="5" t="inlineStr">
        <is>
          <t>เวลาที่ตัดสิน</t>
        </is>
      </c>
      <c r="H145" s="17" t="inlineStr">
        <is>
          <t>ระบบสร้าง/คำนวณ</t>
        </is>
      </c>
      <c r="I145" s="19" t="inlineStr"/>
    </row>
    <row r="146">
      <c r="A146" s="5" t="inlineStr">
        <is>
          <t>Approvals</t>
        </is>
      </c>
      <c r="B146" s="5" t="inlineStr">
        <is>
          <t>reject_reason</t>
        </is>
      </c>
      <c r="C146" s="17" t="inlineStr">
        <is>
          <t>TEXT</t>
        </is>
      </c>
      <c r="D146" s="17" t="inlineStr">
        <is>
          <t>ไม่บังคับ</t>
        </is>
      </c>
      <c r="E146" s="18" t="inlineStr"/>
      <c r="F146" s="5" t="inlineStr"/>
      <c r="G146" s="5" t="inlineStr">
        <is>
          <t>เหตุผลที่ไม่อนุมัติ — บังคับเมื่อ REJECTED</t>
        </is>
      </c>
      <c r="H146" s="23" t="inlineStr">
        <is>
          <t>คนกรอก</t>
        </is>
      </c>
      <c r="I146" s="19" t="inlineStr"/>
    </row>
    <row r="147">
      <c r="A147" s="5" t="inlineStr">
        <is>
          <t>Approvals</t>
        </is>
      </c>
      <c r="B147" s="5" t="inlineStr">
        <is>
          <t>on_behalf_of</t>
        </is>
      </c>
      <c r="C147" s="17" t="inlineStr">
        <is>
          <t>TEXT</t>
        </is>
      </c>
      <c r="D147" s="17" t="inlineStr">
        <is>
          <t>ไม่บังคับ</t>
        </is>
      </c>
      <c r="E147" s="18" t="inlineStr">
        <is>
          <t>FK</t>
        </is>
      </c>
      <c r="F147" s="5" t="inlineStr">
        <is>
          <t>Users.email</t>
        </is>
      </c>
      <c r="G147" s="5" t="inlineStr">
        <is>
          <t>เซ็นแทนใคร (กรณีรับมอบอำนาจ)</t>
        </is>
      </c>
      <c r="H147" s="17" t="inlineStr">
        <is>
          <t>ระบบสร้าง/คำนวณ</t>
        </is>
      </c>
      <c r="I147" s="19" t="inlineStr"/>
    </row>
    <row r="148">
      <c r="A148" s="5" t="inlineStr">
        <is>
          <t>Approvals</t>
        </is>
      </c>
      <c r="B148" s="5" t="inlineStr">
        <is>
          <t>signed_file_checksum</t>
        </is>
      </c>
      <c r="C148" s="17" t="inlineStr">
        <is>
          <t>TEXT</t>
        </is>
      </c>
      <c r="D148" s="17" t="inlineStr">
        <is>
          <t>ไม่บังคับ</t>
        </is>
      </c>
      <c r="E148" s="18" t="inlineStr"/>
      <c r="F148" s="5" t="inlineStr"/>
      <c r="G148" s="5" t="inlineStr">
        <is>
          <t>หลักฐาน: checksum ของไฟล์ ณ เวลาที่เซ็น</t>
        </is>
      </c>
      <c r="H148" s="17" t="inlineStr">
        <is>
          <t>ระบบสร้าง/คำนวณ</t>
        </is>
      </c>
      <c r="I148" s="19" t="inlineStr"/>
    </row>
    <row r="149">
      <c r="A149" s="5" t="inlineStr">
        <is>
          <t>Approvals</t>
        </is>
      </c>
      <c r="B149" s="5" t="inlineStr">
        <is>
          <t>signer_ip</t>
        </is>
      </c>
      <c r="C149" s="17" t="inlineStr">
        <is>
          <t>TEXT</t>
        </is>
      </c>
      <c r="D149" s="17" t="inlineStr">
        <is>
          <t>ไม่บังคับ</t>
        </is>
      </c>
      <c r="E149" s="18" t="inlineStr"/>
      <c r="F149" s="5" t="inlineStr"/>
      <c r="G149" s="5" t="inlineStr">
        <is>
          <t>หลักฐาน: IP ผู้เซ็น</t>
        </is>
      </c>
      <c r="H149" s="17" t="inlineStr">
        <is>
          <t>ระบบสร้าง/คำนวณ</t>
        </is>
      </c>
      <c r="I149" s="19" t="inlineStr"/>
    </row>
    <row r="150">
      <c r="A150" s="5" t="inlineStr">
        <is>
          <t>Approvals</t>
        </is>
      </c>
      <c r="B150" s="5" t="inlineStr">
        <is>
          <t>user_agent</t>
        </is>
      </c>
      <c r="C150" s="17" t="inlineStr">
        <is>
          <t>TEXT</t>
        </is>
      </c>
      <c r="D150" s="17" t="inlineStr">
        <is>
          <t>ไม่บังคับ</t>
        </is>
      </c>
      <c r="E150" s="18" t="inlineStr"/>
      <c r="F150" s="5" t="inlineStr"/>
      <c r="G150" s="5" t="inlineStr">
        <is>
          <t>หลักฐาน: เบราว์เซอร์ผู้เซ็น</t>
        </is>
      </c>
      <c r="H150" s="17" t="inlineStr">
        <is>
          <t>ระบบสร้าง/คำนวณ</t>
        </is>
      </c>
      <c r="I150" s="19" t="inlineStr"/>
    </row>
    <row r="151">
      <c r="A151" s="5" t="inlineStr">
        <is>
          <t>Approvals</t>
        </is>
      </c>
      <c r="B151" s="5" t="inlineStr">
        <is>
          <t>evidence_json</t>
        </is>
      </c>
      <c r="C151" s="17" t="inlineStr">
        <is>
          <t>JSON</t>
        </is>
      </c>
      <c r="D151" s="17" t="inlineStr">
        <is>
          <t>ไม่บังคับ</t>
        </is>
      </c>
      <c r="E151" s="18" t="inlineStr"/>
      <c r="F151" s="5" t="inlineStr"/>
      <c r="G151" s="5" t="inlineStr">
        <is>
          <t>หลักฐานเพิ่มเติมตาม พ.ร.บ.ธุรกรรมทางอิเล็กทรอนิกส์</t>
        </is>
      </c>
      <c r="H151" s="17" t="inlineStr">
        <is>
          <t>ระบบสร้าง/คำนวณ</t>
        </is>
      </c>
      <c r="I151" s="19" t="inlineStr"/>
    </row>
    <row r="152">
      <c r="A152" s="5" t="inlineStr">
        <is>
          <t>Approvals</t>
        </is>
      </c>
      <c r="B152" s="5" t="inlineStr">
        <is>
          <t>notified_at</t>
        </is>
      </c>
      <c r="C152" s="17" t="inlineStr">
        <is>
          <t>DATETIME</t>
        </is>
      </c>
      <c r="D152" s="17" t="inlineStr">
        <is>
          <t>ไม่บังคับ</t>
        </is>
      </c>
      <c r="E152" s="18" t="inlineStr"/>
      <c r="F152" s="5" t="inlineStr"/>
      <c r="G152" s="5" t="inlineStr">
        <is>
          <t>เวลาที่แจ้งผู้อนุมัติ</t>
        </is>
      </c>
      <c r="H152" s="17" t="inlineStr">
        <is>
          <t>ระบบสร้าง/คำนวณ</t>
        </is>
      </c>
      <c r="I152" s="19" t="inlineStr"/>
    </row>
    <row r="153">
      <c r="A153" s="10" t="inlineStr">
        <is>
          <t>Stage_Log</t>
        </is>
      </c>
      <c r="B153" s="5" t="inlineStr">
        <is>
          <t>log_id</t>
        </is>
      </c>
      <c r="C153" s="17" t="inlineStr">
        <is>
          <t>UUID</t>
        </is>
      </c>
      <c r="D153" s="17" t="inlineStr">
        <is>
          <t>บังคับ</t>
        </is>
      </c>
      <c r="E153" s="18" t="inlineStr">
        <is>
          <t>PK</t>
        </is>
      </c>
      <c r="F153" s="5" t="inlineStr"/>
      <c r="G153" s="5" t="inlineStr">
        <is>
          <t>คีย์ภายใน</t>
        </is>
      </c>
      <c r="H153" s="17" t="inlineStr">
        <is>
          <t>ระบบสร้าง/คำนวณ</t>
        </is>
      </c>
      <c r="I153" s="19" t="inlineStr"/>
    </row>
    <row r="154">
      <c r="A154" s="5" t="inlineStr">
        <is>
          <t>Stage_Log</t>
        </is>
      </c>
      <c r="B154" s="5" t="inlineStr">
        <is>
          <t>at_ts</t>
        </is>
      </c>
      <c r="C154" s="17" t="inlineStr">
        <is>
          <t>DATETIME</t>
        </is>
      </c>
      <c r="D154" s="17" t="inlineStr">
        <is>
          <t>บังคับ</t>
        </is>
      </c>
      <c r="E154" s="18" t="inlineStr"/>
      <c r="F154" s="5" t="inlineStr"/>
      <c r="G154" s="5" t="inlineStr">
        <is>
          <t>เวลาที่เกิดเหตุการณ์</t>
        </is>
      </c>
      <c r="H154" s="17" t="inlineStr">
        <is>
          <t>ระบบสร้าง/คำนวณ</t>
        </is>
      </c>
      <c r="I154" s="19" t="inlineStr"/>
    </row>
    <row r="155">
      <c r="A155" s="5" t="inlineStr">
        <is>
          <t>Stage_Log</t>
        </is>
      </c>
      <c r="B155" s="5" t="inlineStr">
        <is>
          <t>po_no</t>
        </is>
      </c>
      <c r="C155" s="17" t="inlineStr">
        <is>
          <t>TEXT</t>
        </is>
      </c>
      <c r="D155" s="17" t="inlineStr">
        <is>
          <t>ไม่บังคับ</t>
        </is>
      </c>
      <c r="E155" s="18" t="inlineStr">
        <is>
          <t>FK</t>
        </is>
      </c>
      <c r="F155" s="5" t="inlineStr">
        <is>
          <t>Purchase_Orders.po_no</t>
        </is>
      </c>
      <c r="G155" s="5" t="inlineStr">
        <is>
          <t>PO ที่เกี่ยวข้อง</t>
        </is>
      </c>
      <c r="H155" s="17" t="inlineStr">
        <is>
          <t>ระบบสร้าง/คำนวณ</t>
        </is>
      </c>
      <c r="I155" s="19" t="inlineStr"/>
    </row>
    <row r="156">
      <c r="A156" s="5" t="inlineStr">
        <is>
          <t>Stage_Log</t>
        </is>
      </c>
      <c r="B156" s="5" t="inlineStr">
        <is>
          <t>entity_type</t>
        </is>
      </c>
      <c r="C156" s="17" t="inlineStr">
        <is>
          <t>ENUM</t>
        </is>
      </c>
      <c r="D156" s="17" t="inlineStr">
        <is>
          <t>บังคับ</t>
        </is>
      </c>
      <c r="E156" s="18" t="inlineStr"/>
      <c r="F156" s="5" t="inlineStr">
        <is>
          <t>PO / PAYMENT / CLAIM / ITEM_REQ / PRICE_REQ / QUOTE</t>
        </is>
      </c>
      <c r="G156" s="5" t="inlineStr">
        <is>
          <t>เอกสารประเภทไหน</t>
        </is>
      </c>
      <c r="H156" s="17" t="inlineStr">
        <is>
          <t>ระบบสร้าง/คำนวณ</t>
        </is>
      </c>
      <c r="I156" s="19" t="inlineStr"/>
    </row>
    <row r="157">
      <c r="A157" s="5" t="inlineStr">
        <is>
          <t>Stage_Log</t>
        </is>
      </c>
      <c r="B157" s="5" t="inlineStr">
        <is>
          <t>entity_no</t>
        </is>
      </c>
      <c r="C157" s="17" t="inlineStr">
        <is>
          <t>TEXT</t>
        </is>
      </c>
      <c r="D157" s="17" t="inlineStr">
        <is>
          <t>บังคับ</t>
        </is>
      </c>
      <c r="E157" s="18" t="inlineStr"/>
      <c r="F157" s="5" t="inlineStr"/>
      <c r="G157" s="5" t="inlineStr">
        <is>
          <t>เลขเอกสาร</t>
        </is>
      </c>
      <c r="H157" s="17" t="inlineStr">
        <is>
          <t>ระบบสร้าง/คำนวณ</t>
        </is>
      </c>
      <c r="I157" s="19" t="inlineStr"/>
    </row>
    <row r="158">
      <c r="A158" s="5" t="inlineStr">
        <is>
          <t>Stage_Log</t>
        </is>
      </c>
      <c r="B158" s="5" t="inlineStr">
        <is>
          <t>action</t>
        </is>
      </c>
      <c r="C158" s="17" t="inlineStr">
        <is>
          <t>TEXT</t>
        </is>
      </c>
      <c r="D158" s="17" t="inlineStr">
        <is>
          <t>บังคับ</t>
        </is>
      </c>
      <c r="E158" s="18" t="inlineStr"/>
      <c r="F158" s="5" t="inlineStr">
        <is>
          <t>STAGE_ADVANCE / UPLOAD / APPROVE / BLOCKED_BY_RULE</t>
        </is>
      </c>
      <c r="G158" s="5" t="inlineStr">
        <is>
          <t>ทำอะไร</t>
        </is>
      </c>
      <c r="H158" s="17" t="inlineStr">
        <is>
          <t>ระบบสร้าง/คำนวณ</t>
        </is>
      </c>
      <c r="I158" s="19" t="inlineStr"/>
    </row>
    <row r="159">
      <c r="A159" s="5" t="inlineStr">
        <is>
          <t>Stage_Log</t>
        </is>
      </c>
      <c r="B159" s="5" t="inlineStr">
        <is>
          <t>from_status</t>
        </is>
      </c>
      <c r="C159" s="17" t="inlineStr">
        <is>
          <t>TEXT</t>
        </is>
      </c>
      <c r="D159" s="17" t="inlineStr">
        <is>
          <t>ไม่บังคับ</t>
        </is>
      </c>
      <c r="E159" s="18" t="inlineStr"/>
      <c r="F159" s="5" t="inlineStr"/>
      <c r="G159" s="5" t="inlineStr">
        <is>
          <t>สถานะก่อนหน้า</t>
        </is>
      </c>
      <c r="H159" s="17" t="inlineStr">
        <is>
          <t>ระบบสร้าง/คำนวณ</t>
        </is>
      </c>
      <c r="I159" s="19" t="inlineStr"/>
    </row>
    <row r="160">
      <c r="A160" s="5" t="inlineStr">
        <is>
          <t>Stage_Log</t>
        </is>
      </c>
      <c r="B160" s="5" t="inlineStr">
        <is>
          <t>to_status</t>
        </is>
      </c>
      <c r="C160" s="17" t="inlineStr">
        <is>
          <t>TEXT</t>
        </is>
      </c>
      <c r="D160" s="17" t="inlineStr">
        <is>
          <t>ไม่บังคับ</t>
        </is>
      </c>
      <c r="E160" s="18" t="inlineStr"/>
      <c r="F160" s="5" t="inlineStr"/>
      <c r="G160" s="5" t="inlineStr">
        <is>
          <t>สถานะหลังเปลี่ยน</t>
        </is>
      </c>
      <c r="H160" s="17" t="inlineStr">
        <is>
          <t>ระบบสร้าง/คำนวณ</t>
        </is>
      </c>
      <c r="I160" s="19" t="inlineStr"/>
    </row>
    <row r="161">
      <c r="A161" s="5" t="inlineStr">
        <is>
          <t>Stage_Log</t>
        </is>
      </c>
      <c r="B161" s="5" t="inlineStr">
        <is>
          <t>actor_email</t>
        </is>
      </c>
      <c r="C161" s="17" t="inlineStr">
        <is>
          <t>TEXT</t>
        </is>
      </c>
      <c r="D161" s="17" t="inlineStr">
        <is>
          <t>บังคับ</t>
        </is>
      </c>
      <c r="E161" s="18" t="inlineStr">
        <is>
          <t>FK</t>
        </is>
      </c>
      <c r="F161" s="5" t="inlineStr">
        <is>
          <t>Users.email</t>
        </is>
      </c>
      <c r="G161" s="5" t="inlineStr">
        <is>
          <t>ใครทำ</t>
        </is>
      </c>
      <c r="H161" s="17" t="inlineStr">
        <is>
          <t>ระบบสร้าง/คำนวณ</t>
        </is>
      </c>
      <c r="I161" s="19" t="inlineStr"/>
    </row>
    <row r="162">
      <c r="A162" s="5" t="inlineStr">
        <is>
          <t>Stage_Log</t>
        </is>
      </c>
      <c r="B162" s="5" t="inlineStr">
        <is>
          <t>actor_dept</t>
        </is>
      </c>
      <c r="C162" s="17" t="inlineStr">
        <is>
          <t>ENUM</t>
        </is>
      </c>
      <c r="D162" s="17" t="inlineStr">
        <is>
          <t>บังคับ</t>
        </is>
      </c>
      <c r="E162" s="18" t="inlineStr"/>
      <c r="F162" s="5" t="inlineStr">
        <is>
          <t>SR / QC / LS / WH / AC / GM</t>
        </is>
      </c>
      <c r="G162" s="5" t="inlineStr">
        <is>
          <t>แผนกของผู้ทำ</t>
        </is>
      </c>
      <c r="H162" s="17" t="inlineStr">
        <is>
          <t>ระบบสร้าง/คำนวณ</t>
        </is>
      </c>
      <c r="I162" s="19" t="inlineStr"/>
    </row>
    <row r="163">
      <c r="A163" s="5" t="inlineStr">
        <is>
          <t>Stage_Log</t>
        </is>
      </c>
      <c r="B163" s="5" t="inlineStr">
        <is>
          <t>on_behalf_of</t>
        </is>
      </c>
      <c r="C163" s="17" t="inlineStr">
        <is>
          <t>TEXT</t>
        </is>
      </c>
      <c r="D163" s="17" t="inlineStr">
        <is>
          <t>ไม่บังคับ</t>
        </is>
      </c>
      <c r="E163" s="18" t="inlineStr"/>
      <c r="F163" s="5" t="inlineStr"/>
      <c r="G163" s="5" t="inlineStr">
        <is>
          <t>ทำแทนใคร</t>
        </is>
      </c>
      <c r="H163" s="17" t="inlineStr">
        <is>
          <t>ระบบสร้าง/คำนวณ</t>
        </is>
      </c>
      <c r="I163" s="19" t="inlineStr"/>
    </row>
    <row r="164">
      <c r="A164" s="5" t="inlineStr">
        <is>
          <t>Stage_Log</t>
        </is>
      </c>
      <c r="B164" s="5" t="inlineStr">
        <is>
          <t>duration_prev_hrs</t>
        </is>
      </c>
      <c r="C164" s="17" t="inlineStr">
        <is>
          <t>NUMBER</t>
        </is>
      </c>
      <c r="D164" s="17" t="inlineStr">
        <is>
          <t>ไม่บังคับ</t>
        </is>
      </c>
      <c r="E164" s="18" t="inlineStr"/>
      <c r="F164" s="5" t="inlineStr">
        <is>
          <t>26.5</t>
        </is>
      </c>
      <c r="G164" s="5" t="inlineStr">
        <is>
          <t>ขั้นก่อนหน้าใช้เวลากี่ชั่วโมง — ที่มาของรายงานคอขวด</t>
        </is>
      </c>
      <c r="H164" s="17" t="inlineStr">
        <is>
          <t>ระบบสร้าง/คำนวณ</t>
        </is>
      </c>
      <c r="I164" s="19" t="inlineStr"/>
    </row>
    <row r="165">
      <c r="A165" s="5" t="inlineStr">
        <is>
          <t>Stage_Log</t>
        </is>
      </c>
      <c r="B165" s="5" t="inlineStr">
        <is>
          <t>sla_hours</t>
        </is>
      </c>
      <c r="C165" s="17" t="inlineStr">
        <is>
          <t>NUMBER</t>
        </is>
      </c>
      <c r="D165" s="17" t="inlineStr">
        <is>
          <t>ไม่บังคับ</t>
        </is>
      </c>
      <c r="E165" s="18" t="inlineStr"/>
      <c r="F165" s="5" t="inlineStr">
        <is>
          <t>24</t>
        </is>
      </c>
      <c r="G165" s="5" t="inlineStr">
        <is>
          <t>SLA ของขั้นนั้น</t>
        </is>
      </c>
      <c r="H165" s="17" t="inlineStr">
        <is>
          <t>ระบบสร้าง/คำนวณ</t>
        </is>
      </c>
      <c r="I165" s="19" t="inlineStr"/>
    </row>
    <row r="166">
      <c r="A166" s="5" t="inlineStr">
        <is>
          <t>Stage_Log</t>
        </is>
      </c>
      <c r="B166" s="5" t="inlineStr">
        <is>
          <t>sla_breached</t>
        </is>
      </c>
      <c r="C166" s="17" t="inlineStr">
        <is>
          <t>BOOLEAN</t>
        </is>
      </c>
      <c r="D166" s="17" t="inlineStr">
        <is>
          <t>ไม่บังคับ</t>
        </is>
      </c>
      <c r="E166" s="18" t="inlineStr"/>
      <c r="F166" s="5" t="inlineStr">
        <is>
          <t>TRUE / FALSE</t>
        </is>
      </c>
      <c r="G166" s="5" t="inlineStr">
        <is>
          <t>เลยกำหนดหรือไม่</t>
        </is>
      </c>
      <c r="H166" s="17" t="inlineStr">
        <is>
          <t>ระบบสร้าง/คำนวณ</t>
        </is>
      </c>
      <c r="I166" s="19" t="inlineStr"/>
    </row>
    <row r="167">
      <c r="A167" s="5" t="inlineStr">
        <is>
          <t>Stage_Log</t>
        </is>
      </c>
      <c r="B167" s="5" t="inlineStr">
        <is>
          <t>reason</t>
        </is>
      </c>
      <c r="C167" s="17" t="inlineStr">
        <is>
          <t>TEXT</t>
        </is>
      </c>
      <c r="D167" s="17" t="inlineStr">
        <is>
          <t>ไม่บังคับ</t>
        </is>
      </c>
      <c r="E167" s="18" t="inlineStr"/>
      <c r="F167" s="5" t="inlineStr"/>
      <c r="G167" s="5" t="inlineStr">
        <is>
          <t>เหตุผล (กรณีตีกลับ ข้ามขั้น หรือถูกกฎบล็อก)</t>
        </is>
      </c>
      <c r="H167" s="23" t="inlineStr">
        <is>
          <t>คนกรอก</t>
        </is>
      </c>
      <c r="I167" s="19" t="inlineStr"/>
    </row>
    <row r="168">
      <c r="A168" s="5" t="inlineStr">
        <is>
          <t>Stage_Log</t>
        </is>
      </c>
      <c r="B168" s="5" t="inlineStr">
        <is>
          <t>changed_fields</t>
        </is>
      </c>
      <c r="C168" s="17" t="inlineStr">
        <is>
          <t>JSON</t>
        </is>
      </c>
      <c r="D168" s="17" t="inlineStr">
        <is>
          <t>ไม่บังคับ</t>
        </is>
      </c>
      <c r="E168" s="18" t="inlineStr"/>
      <c r="F168" s="5" t="inlineStr"/>
      <c r="G168" s="5" t="inlineStr">
        <is>
          <t>ฟิลด์ที่เปลี่ยนและค่าก่อน/หลัง</t>
        </is>
      </c>
      <c r="H168" s="17" t="inlineStr">
        <is>
          <t>ระบบสร้าง/คำนวณ</t>
        </is>
      </c>
      <c r="I168" s="19" t="inlineStr"/>
    </row>
    <row r="169">
      <c r="A169" s="5" t="inlineStr">
        <is>
          <t>Stage_Log</t>
        </is>
      </c>
      <c r="B169" s="5" t="inlineStr">
        <is>
          <t>source</t>
        </is>
      </c>
      <c r="C169" s="17" t="inlineStr">
        <is>
          <t>ENUM</t>
        </is>
      </c>
      <c r="D169" s="17" t="inlineStr">
        <is>
          <t>ไม่บังคับ</t>
        </is>
      </c>
      <c r="E169" s="18" t="inlineStr"/>
      <c r="F169" s="5" t="inlineStr">
        <is>
          <t>WEB / SYSTEM / SYNC</t>
        </is>
      </c>
      <c r="G169" s="5" t="inlineStr">
        <is>
          <t>เกิดจากคนหรือระบบ</t>
        </is>
      </c>
      <c r="H169" s="17" t="inlineStr">
        <is>
          <t>ระบบสร้าง/คำนวณ</t>
        </is>
      </c>
      <c r="I169" s="19" t="inlineStr"/>
    </row>
    <row r="170">
      <c r="A170" s="5" t="inlineStr">
        <is>
          <t>Stage_Log</t>
        </is>
      </c>
      <c r="B170" s="5" t="inlineStr">
        <is>
          <t>request_id</t>
        </is>
      </c>
      <c r="C170" s="17" t="inlineStr">
        <is>
          <t>TEXT</t>
        </is>
      </c>
      <c r="D170" s="17" t="inlineStr">
        <is>
          <t>ไม่บังคับ</t>
        </is>
      </c>
      <c r="E170" s="18" t="inlineStr"/>
      <c r="F170" s="5" t="inlineStr"/>
      <c r="G170" s="5" t="inlineStr">
        <is>
          <t>ใช้ไล่ปัญหาย้อนหลัง</t>
        </is>
      </c>
      <c r="H170" s="17" t="inlineStr">
        <is>
          <t>ระบบสร้าง/คำนวณ</t>
        </is>
      </c>
      <c r="I170" s="19" t="inlineStr"/>
    </row>
    <row r="171">
      <c r="A171" s="10" t="inlineStr">
        <is>
          <t>Notifications</t>
        </is>
      </c>
      <c r="B171" s="5" t="inlineStr">
        <is>
          <t>notif_id</t>
        </is>
      </c>
      <c r="C171" s="17" t="inlineStr">
        <is>
          <t>UUID</t>
        </is>
      </c>
      <c r="D171" s="17" t="inlineStr">
        <is>
          <t>บังคับ</t>
        </is>
      </c>
      <c r="E171" s="18" t="inlineStr">
        <is>
          <t>PK</t>
        </is>
      </c>
      <c r="F171" s="5" t="inlineStr"/>
      <c r="G171" s="5" t="inlineStr">
        <is>
          <t>คีย์ภายใน</t>
        </is>
      </c>
      <c r="H171" s="17" t="inlineStr">
        <is>
          <t>ระบบสร้าง/คำนวณ</t>
        </is>
      </c>
      <c r="I171" s="19" t="inlineStr"/>
    </row>
    <row r="172">
      <c r="A172" s="5" t="inlineStr">
        <is>
          <t>Notifications</t>
        </is>
      </c>
      <c r="B172" s="5" t="inlineStr">
        <is>
          <t>created_at</t>
        </is>
      </c>
      <c r="C172" s="17" t="inlineStr">
        <is>
          <t>DATETIME</t>
        </is>
      </c>
      <c r="D172" s="17" t="inlineStr">
        <is>
          <t>บังคับ</t>
        </is>
      </c>
      <c r="E172" s="18" t="inlineStr"/>
      <c r="F172" s="5" t="inlineStr"/>
      <c r="G172" s="5" t="inlineStr">
        <is>
          <t>เวลาที่เข้าคิว</t>
        </is>
      </c>
      <c r="H172" s="17" t="inlineStr">
        <is>
          <t>ระบบสร้าง/คำนวณ</t>
        </is>
      </c>
      <c r="I172" s="19" t="inlineStr"/>
    </row>
    <row r="173">
      <c r="A173" s="5" t="inlineStr">
        <is>
          <t>Notifications</t>
        </is>
      </c>
      <c r="B173" s="5" t="inlineStr">
        <is>
          <t>channel</t>
        </is>
      </c>
      <c r="C173" s="17" t="inlineStr">
        <is>
          <t>ENUM</t>
        </is>
      </c>
      <c r="D173" s="17" t="inlineStr">
        <is>
          <t>บังคับ</t>
        </is>
      </c>
      <c r="E173" s="18" t="inlineStr"/>
      <c r="F173" s="5" t="inlineStr">
        <is>
          <t>LARK / EMAIL / WEB</t>
        </is>
      </c>
      <c r="G173" s="5" t="inlineStr">
        <is>
          <t>ช่องทาง — ไม่มี LINE เพราะภายในใช้ Lark อย่างเดียว</t>
        </is>
      </c>
      <c r="H173" s="17" t="inlineStr">
        <is>
          <t>ระบบสร้าง/คำนวณ</t>
        </is>
      </c>
      <c r="I173" s="19" t="inlineStr"/>
    </row>
    <row r="174">
      <c r="A174" s="5" t="inlineStr">
        <is>
          <t>Notifications</t>
        </is>
      </c>
      <c r="B174" s="5" t="inlineStr">
        <is>
          <t>template_id</t>
        </is>
      </c>
      <c r="C174" s="17" t="inlineStr">
        <is>
          <t>TEXT</t>
        </is>
      </c>
      <c r="D174" s="17" t="inlineStr">
        <is>
          <t>บังคับ</t>
        </is>
      </c>
      <c r="E174" s="18" t="inlineStr"/>
      <c r="F174" s="5" t="inlineStr"/>
      <c r="G174" s="5" t="inlineStr">
        <is>
          <t>แม่แบบข้อความ</t>
        </is>
      </c>
      <c r="H174" s="17" t="inlineStr">
        <is>
          <t>ระบบสร้าง/คำนวณ</t>
        </is>
      </c>
      <c r="I174" s="19" t="inlineStr"/>
    </row>
    <row r="175">
      <c r="A175" s="5" t="inlineStr">
        <is>
          <t>Notifications</t>
        </is>
      </c>
      <c r="B175" s="5" t="inlineStr">
        <is>
          <t>to_recipients</t>
        </is>
      </c>
      <c r="C175" s="17" t="inlineStr">
        <is>
          <t>TEXT</t>
        </is>
      </c>
      <c r="D175" s="17" t="inlineStr">
        <is>
          <t>บังคับ</t>
        </is>
      </c>
      <c r="E175" s="18" t="inlineStr"/>
      <c r="F175" s="5" t="inlineStr"/>
      <c r="G175" s="5" t="inlineStr">
        <is>
          <t>ผู้รับ</t>
        </is>
      </c>
      <c r="H175" s="17" t="inlineStr">
        <is>
          <t>ระบบสร้าง/คำนวณ</t>
        </is>
      </c>
      <c r="I175" s="19" t="inlineStr"/>
    </row>
    <row r="176">
      <c r="A176" s="5" t="inlineStr">
        <is>
          <t>Notifications</t>
        </is>
      </c>
      <c r="B176" s="5" t="inlineStr">
        <is>
          <t>cc</t>
        </is>
      </c>
      <c r="C176" s="17" t="inlineStr">
        <is>
          <t>TEXT</t>
        </is>
      </c>
      <c r="D176" s="17" t="inlineStr">
        <is>
          <t>ไม่บังคับ</t>
        </is>
      </c>
      <c r="E176" s="18" t="inlineStr"/>
      <c r="F176" s="5" t="inlineStr"/>
      <c r="G176" s="5" t="inlineStr">
        <is>
          <t>สำเนาถึง</t>
        </is>
      </c>
      <c r="H176" s="17" t="inlineStr">
        <is>
          <t>ระบบสร้าง/คำนวณ</t>
        </is>
      </c>
      <c r="I176" s="19" t="inlineStr"/>
    </row>
    <row r="177">
      <c r="A177" s="5" t="inlineStr">
        <is>
          <t>Notifications</t>
        </is>
      </c>
      <c r="B177" s="5" t="inlineStr">
        <is>
          <t>lark_user_id</t>
        </is>
      </c>
      <c r="C177" s="17" t="inlineStr">
        <is>
          <t>TEXT</t>
        </is>
      </c>
      <c r="D177" s="17" t="inlineStr">
        <is>
          <t>ไม่บังคับ</t>
        </is>
      </c>
      <c r="E177" s="18" t="inlineStr">
        <is>
          <t>FK</t>
        </is>
      </c>
      <c r="F177" s="5" t="inlineStr">
        <is>
          <t>Users.lark_user_id</t>
        </is>
      </c>
      <c r="G177" s="5" t="inlineStr">
        <is>
          <t>ไอดี Lark ของผู้รับ</t>
        </is>
      </c>
      <c r="H177" s="17" t="inlineStr">
        <is>
          <t>ระบบสร้าง/คำนวณ</t>
        </is>
      </c>
      <c r="I177" s="19" t="inlineStr"/>
    </row>
    <row r="178">
      <c r="A178" s="5" t="inlineStr">
        <is>
          <t>Notifications</t>
        </is>
      </c>
      <c r="B178" s="5" t="inlineStr">
        <is>
          <t>subject</t>
        </is>
      </c>
      <c r="C178" s="17" t="inlineStr">
        <is>
          <t>TEXT</t>
        </is>
      </c>
      <c r="D178" s="17" t="inlineStr">
        <is>
          <t>ไม่บังคับ</t>
        </is>
      </c>
      <c r="E178" s="18" t="inlineStr"/>
      <c r="F178" s="5" t="inlineStr"/>
      <c r="G178" s="5" t="inlineStr">
        <is>
          <t>หัวเรื่อง</t>
        </is>
      </c>
      <c r="H178" s="17" t="inlineStr">
        <is>
          <t>ระบบสร้าง/คำนวณ</t>
        </is>
      </c>
      <c r="I178" s="19" t="inlineStr"/>
    </row>
    <row r="179">
      <c r="A179" s="5" t="inlineStr">
        <is>
          <t>Notifications</t>
        </is>
      </c>
      <c r="B179" s="5" t="inlineStr">
        <is>
          <t>ref_no</t>
        </is>
      </c>
      <c r="C179" s="17" t="inlineStr">
        <is>
          <t>TEXT</t>
        </is>
      </c>
      <c r="D179" s="17" t="inlineStr">
        <is>
          <t>ไม่บังคับ</t>
        </is>
      </c>
      <c r="E179" s="18" t="inlineStr"/>
      <c r="F179" s="5" t="inlineStr"/>
      <c r="G179" s="5" t="inlineStr">
        <is>
          <t>เอกสารที่เกี่ยวข้อง</t>
        </is>
      </c>
      <c r="H179" s="17" t="inlineStr">
        <is>
          <t>ระบบสร้าง/คำนวณ</t>
        </is>
      </c>
      <c r="I179" s="19" t="inlineStr"/>
    </row>
    <row r="180">
      <c r="A180" s="5" t="inlineStr">
        <is>
          <t>Notifications</t>
        </is>
      </c>
      <c r="B180" s="5" t="inlineStr">
        <is>
          <t>vars_json</t>
        </is>
      </c>
      <c r="C180" s="17" t="inlineStr">
        <is>
          <t>JSON</t>
        </is>
      </c>
      <c r="D180" s="17" t="inlineStr">
        <is>
          <t>ไม่บังคับ</t>
        </is>
      </c>
      <c r="E180" s="18" t="inlineStr"/>
      <c r="F180" s="5" t="inlineStr"/>
      <c r="G180" s="5" t="inlineStr">
        <is>
          <t>ตัวแปรที่เติมลงแม่แบบ</t>
        </is>
      </c>
      <c r="H180" s="17" t="inlineStr">
        <is>
          <t>ระบบสร้าง/คำนวณ</t>
        </is>
      </c>
      <c r="I180" s="19" t="inlineStr"/>
    </row>
    <row r="181">
      <c r="A181" s="5" t="inlineStr">
        <is>
          <t>Notifications</t>
        </is>
      </c>
      <c r="B181" s="5" t="inlineStr">
        <is>
          <t>status</t>
        </is>
      </c>
      <c r="C181" s="17" t="inlineStr">
        <is>
          <t>ENUM</t>
        </is>
      </c>
      <c r="D181" s="17" t="inlineStr">
        <is>
          <t>บังคับ</t>
        </is>
      </c>
      <c r="E181" s="18" t="inlineStr"/>
      <c r="F181" s="5" t="inlineStr">
        <is>
          <t>QUEUED / SENT / FAILED / SUPPRESSED / FALLBACK_EMAIL</t>
        </is>
      </c>
      <c r="G181" s="5" t="inlineStr">
        <is>
          <t>สถานะการส่ง</t>
        </is>
      </c>
      <c r="H181" s="17" t="inlineStr">
        <is>
          <t>ระบบสร้าง/คำนวณ</t>
        </is>
      </c>
      <c r="I181" s="19" t="inlineStr"/>
    </row>
    <row r="182">
      <c r="A182" s="5" t="inlineStr">
        <is>
          <t>Notifications</t>
        </is>
      </c>
      <c r="B182" s="5" t="inlineStr">
        <is>
          <t>attempts</t>
        </is>
      </c>
      <c r="C182" s="17" t="inlineStr">
        <is>
          <t>NUMBER</t>
        </is>
      </c>
      <c r="D182" s="17" t="inlineStr">
        <is>
          <t>บังคับ</t>
        </is>
      </c>
      <c r="E182" s="18" t="inlineStr"/>
      <c r="F182" s="5" t="inlineStr">
        <is>
          <t>0-5</t>
        </is>
      </c>
      <c r="G182" s="5" t="inlineStr">
        <is>
          <t>ลองส่งไปกี่ครั้ง</t>
        </is>
      </c>
      <c r="H182" s="17" t="inlineStr">
        <is>
          <t>ระบบสร้าง/คำนวณ</t>
        </is>
      </c>
      <c r="I182" s="19" t="inlineStr"/>
    </row>
    <row r="183">
      <c r="A183" s="5" t="inlineStr">
        <is>
          <t>Notifications</t>
        </is>
      </c>
      <c r="B183" s="5" t="inlineStr">
        <is>
          <t>next_retry_at</t>
        </is>
      </c>
      <c r="C183" s="17" t="inlineStr">
        <is>
          <t>DATETIME</t>
        </is>
      </c>
      <c r="D183" s="17" t="inlineStr">
        <is>
          <t>ไม่บังคับ</t>
        </is>
      </c>
      <c r="E183" s="18" t="inlineStr"/>
      <c r="F183" s="5" t="inlineStr"/>
      <c r="G183" s="5" t="inlineStr">
        <is>
          <t>รอบถัดไป (1 → 5 → 25 นาที)</t>
        </is>
      </c>
      <c r="H183" s="17" t="inlineStr">
        <is>
          <t>ระบบสร้าง/คำนวณ</t>
        </is>
      </c>
      <c r="I183" s="19" t="inlineStr"/>
    </row>
    <row r="184">
      <c r="A184" s="5" t="inlineStr">
        <is>
          <t>Notifications</t>
        </is>
      </c>
      <c r="B184" s="5" t="inlineStr">
        <is>
          <t>sent_at</t>
        </is>
      </c>
      <c r="C184" s="17" t="inlineStr">
        <is>
          <t>DATETIME</t>
        </is>
      </c>
      <c r="D184" s="17" t="inlineStr">
        <is>
          <t>ไม่บังคับ</t>
        </is>
      </c>
      <c r="E184" s="18" t="inlineStr"/>
      <c r="F184" s="5" t="inlineStr"/>
      <c r="G184" s="5" t="inlineStr">
        <is>
          <t>เวลาที่ส่งสำเร็จ</t>
        </is>
      </c>
      <c r="H184" s="17" t="inlineStr">
        <is>
          <t>ระบบสร้าง/คำนวณ</t>
        </is>
      </c>
      <c r="I184" s="19" t="inlineStr"/>
    </row>
    <row r="185">
      <c r="A185" s="5" t="inlineStr">
        <is>
          <t>Notifications</t>
        </is>
      </c>
      <c r="B185" s="5" t="inlineStr">
        <is>
          <t>message_id</t>
        </is>
      </c>
      <c r="C185" s="17" t="inlineStr">
        <is>
          <t>TEXT</t>
        </is>
      </c>
      <c r="D185" s="17" t="inlineStr">
        <is>
          <t>ไม่บังคับ</t>
        </is>
      </c>
      <c r="E185" s="18" t="inlineStr"/>
      <c r="F185" s="5" t="inlineStr"/>
      <c r="G185" s="5" t="inlineStr">
        <is>
          <t>ไอดีข้อความจากปลายทาง</t>
        </is>
      </c>
      <c r="H185" s="17" t="inlineStr">
        <is>
          <t>ระบบสร้าง/คำนวณ</t>
        </is>
      </c>
      <c r="I185" s="19" t="inlineStr"/>
    </row>
    <row r="186">
      <c r="A186" s="5" t="inlineStr">
        <is>
          <t>Notifications</t>
        </is>
      </c>
      <c r="B186" s="5" t="inlineStr">
        <is>
          <t>error</t>
        </is>
      </c>
      <c r="C186" s="17" t="inlineStr">
        <is>
          <t>TEXT</t>
        </is>
      </c>
      <c r="D186" s="17" t="inlineStr">
        <is>
          <t>ไม่บังคับ</t>
        </is>
      </c>
      <c r="E186" s="18" t="inlineStr"/>
      <c r="F186" s="5" t="inlineStr"/>
      <c r="G186" s="5" t="inlineStr">
        <is>
          <t>ข้อผิดพลาดล่าสุด</t>
        </is>
      </c>
      <c r="H186" s="17" t="inlineStr">
        <is>
          <t>ระบบสร้าง/คำนวณ</t>
        </is>
      </c>
      <c r="I186" s="19" t="inlineStr"/>
    </row>
    <row r="187">
      <c r="A187" s="5" t="inlineStr">
        <is>
          <t>Notifications</t>
        </is>
      </c>
      <c r="B187" s="5" t="inlineStr">
        <is>
          <t>dedupe_key</t>
        </is>
      </c>
      <c r="C187" s="17" t="inlineStr">
        <is>
          <t>TEXT</t>
        </is>
      </c>
      <c r="D187" s="17" t="inlineStr">
        <is>
          <t>บังคับ</t>
        </is>
      </c>
      <c r="E187" s="18" t="inlineStr">
        <is>
          <t>UQ</t>
        </is>
      </c>
      <c r="F187" s="5" t="inlineStr">
        <is>
          <t>event+ref+user+date</t>
        </is>
      </c>
      <c r="G187" s="5" t="inlineStr">
        <is>
          <t>กันเรื่องเดิมเด้งซ้ำใน 24 ชม.</t>
        </is>
      </c>
      <c r="H187" s="17" t="inlineStr">
        <is>
          <t>ระบบสร้าง/คำนวณ</t>
        </is>
      </c>
      <c r="I187" s="19" t="inlineStr"/>
    </row>
    <row r="188">
      <c r="A188" s="10" t="inlineStr">
        <is>
          <t>Issues</t>
        </is>
      </c>
      <c r="B188" s="5" t="inlineStr">
        <is>
          <t>issue_id</t>
        </is>
      </c>
      <c r="C188" s="17" t="inlineStr">
        <is>
          <t>UUID</t>
        </is>
      </c>
      <c r="D188" s="17" t="inlineStr">
        <is>
          <t>บังคับ</t>
        </is>
      </c>
      <c r="E188" s="18" t="inlineStr">
        <is>
          <t>PK</t>
        </is>
      </c>
      <c r="F188" s="5" t="inlineStr"/>
      <c r="G188" s="5" t="inlineStr">
        <is>
          <t>คีย์ภายใน</t>
        </is>
      </c>
      <c r="H188" s="17" t="inlineStr">
        <is>
          <t>ระบบสร้าง/คำนวณ</t>
        </is>
      </c>
      <c r="I188" s="19" t="inlineStr"/>
    </row>
    <row r="189">
      <c r="A189" s="5" t="inlineStr">
        <is>
          <t>Issues</t>
        </is>
      </c>
      <c r="B189" s="5" t="inlineStr">
        <is>
          <t>issue_no</t>
        </is>
      </c>
      <c r="C189" s="17" t="inlineStr">
        <is>
          <t>TEXT</t>
        </is>
      </c>
      <c r="D189" s="17" t="inlineStr">
        <is>
          <t>บังคับ</t>
        </is>
      </c>
      <c r="E189" s="18" t="inlineStr">
        <is>
          <t>UQ</t>
        </is>
      </c>
      <c r="F189" s="5" t="inlineStr">
        <is>
          <t>BUG-26-0031</t>
        </is>
      </c>
      <c r="G189" s="5" t="inlineStr">
        <is>
          <t>เลขที่ผู้ใช้เห็น</t>
        </is>
      </c>
      <c r="H189" s="17" t="inlineStr">
        <is>
          <t>ระบบสร้าง/คำนวณ</t>
        </is>
      </c>
      <c r="I189" s="19" t="inlineStr"/>
    </row>
    <row r="190">
      <c r="A190" s="5" t="inlineStr">
        <is>
          <t>Issues</t>
        </is>
      </c>
      <c r="B190" s="5" t="inlineStr">
        <is>
          <t>severity</t>
        </is>
      </c>
      <c r="C190" s="17" t="inlineStr">
        <is>
          <t>ENUM</t>
        </is>
      </c>
      <c r="D190" s="17" t="inlineStr">
        <is>
          <t>บังคับ</t>
        </is>
      </c>
      <c r="E190" s="18" t="inlineStr"/>
      <c r="F190" s="5" t="inlineStr">
        <is>
          <t>BLOCKER / WRONG / SUGGEST</t>
        </is>
      </c>
      <c r="G190" s="5" t="inlineStr">
        <is>
          <t>ความรุนแรงที่ผู้แจ้งเลือก</t>
        </is>
      </c>
      <c r="H190" s="23" t="inlineStr">
        <is>
          <t>คนกรอก</t>
        </is>
      </c>
      <c r="I190" s="19" t="inlineStr"/>
    </row>
    <row r="191">
      <c r="A191" s="5" t="inlineStr">
        <is>
          <t>Issues</t>
        </is>
      </c>
      <c r="B191" s="5" t="inlineStr">
        <is>
          <t>title</t>
        </is>
      </c>
      <c r="C191" s="17" t="inlineStr">
        <is>
          <t>TEXT</t>
        </is>
      </c>
      <c r="D191" s="17" t="inlineStr">
        <is>
          <t>บังคับ</t>
        </is>
      </c>
      <c r="E191" s="18" t="inlineStr"/>
      <c r="F191" s="5" t="inlineStr"/>
      <c r="G191" s="5" t="inlineStr">
        <is>
          <t>หัวข้อสั้น</t>
        </is>
      </c>
      <c r="H191" s="23" t="inlineStr">
        <is>
          <t>คนกรอก</t>
        </is>
      </c>
      <c r="I191" s="19" t="inlineStr"/>
    </row>
    <row r="192">
      <c r="A192" s="5" t="inlineStr">
        <is>
          <t>Issues</t>
        </is>
      </c>
      <c r="B192" s="5" t="inlineStr">
        <is>
          <t>description</t>
        </is>
      </c>
      <c r="C192" s="17" t="inlineStr">
        <is>
          <t>TEXT</t>
        </is>
      </c>
      <c r="D192" s="17" t="inlineStr">
        <is>
          <t>ไม่บังคับ</t>
        </is>
      </c>
      <c r="E192" s="18" t="inlineStr"/>
      <c r="F192" s="5" t="inlineStr"/>
      <c r="G192" s="5" t="inlineStr">
        <is>
          <t>รายละเอียดที่ผู้ใช้พิมพ์</t>
        </is>
      </c>
      <c r="H192" s="23" t="inlineStr">
        <is>
          <t>คนกรอก</t>
        </is>
      </c>
      <c r="I192" s="19" t="inlineStr"/>
    </row>
    <row r="193">
      <c r="A193" s="5" t="inlineStr">
        <is>
          <t>Issues</t>
        </is>
      </c>
      <c r="B193" s="5" t="inlineStr">
        <is>
          <t>page</t>
        </is>
      </c>
      <c r="C193" s="17" t="inlineStr">
        <is>
          <t>TEXT</t>
        </is>
      </c>
      <c r="D193" s="17" t="inlineStr">
        <is>
          <t>บังคับ</t>
        </is>
      </c>
      <c r="E193" s="18" t="inlineStr"/>
      <c r="F193" s="5" t="inlineStr">
        <is>
          <t>หน้า PO → งวดจ่าย</t>
        </is>
      </c>
      <c r="G193" s="5" t="inlineStr">
        <is>
          <t>หน้าจอที่เกิดปัญหา — ระบบเก็บเอง</t>
        </is>
      </c>
      <c r="H193" s="17" t="inlineStr">
        <is>
          <t>ระบบสร้าง/คำนวณ</t>
        </is>
      </c>
      <c r="I193" s="19" t="inlineStr"/>
    </row>
    <row r="194">
      <c r="A194" s="5" t="inlineStr">
        <is>
          <t>Issues</t>
        </is>
      </c>
      <c r="B194" s="5" t="inlineStr">
        <is>
          <t>ref_type</t>
        </is>
      </c>
      <c r="C194" s="17" t="inlineStr">
        <is>
          <t>TEXT</t>
        </is>
      </c>
      <c r="D194" s="17" t="inlineStr">
        <is>
          <t>ไม่บังคับ</t>
        </is>
      </c>
      <c r="E194" s="18" t="inlineStr"/>
      <c r="F194" s="5" t="inlineStr"/>
      <c r="G194" s="5" t="inlineStr">
        <is>
          <t>ประเภทเอกสารที่เปิดอยู่</t>
        </is>
      </c>
      <c r="H194" s="17" t="inlineStr">
        <is>
          <t>ระบบสร้าง/คำนวณ</t>
        </is>
      </c>
      <c r="I194" s="19" t="inlineStr"/>
    </row>
    <row r="195">
      <c r="A195" s="5" t="inlineStr">
        <is>
          <t>Issues</t>
        </is>
      </c>
      <c r="B195" s="5" t="inlineStr">
        <is>
          <t>ref_no</t>
        </is>
      </c>
      <c r="C195" s="17" t="inlineStr">
        <is>
          <t>TEXT</t>
        </is>
      </c>
      <c r="D195" s="17" t="inlineStr">
        <is>
          <t>ไม่บังคับ</t>
        </is>
      </c>
      <c r="E195" s="18" t="inlineStr"/>
      <c r="F195" s="5" t="inlineStr"/>
      <c r="G195" s="5" t="inlineStr">
        <is>
          <t>เลขเอกสารที่เปิดอยู่</t>
        </is>
      </c>
      <c r="H195" s="17" t="inlineStr">
        <is>
          <t>ระบบสร้าง/คำนวณ</t>
        </is>
      </c>
      <c r="I195" s="19" t="inlineStr"/>
    </row>
    <row r="196">
      <c r="A196" s="5" t="inlineStr">
        <is>
          <t>Issues</t>
        </is>
      </c>
      <c r="B196" s="5" t="inlineStr">
        <is>
          <t>reported_by</t>
        </is>
      </c>
      <c r="C196" s="17" t="inlineStr">
        <is>
          <t>TEXT</t>
        </is>
      </c>
      <c r="D196" s="17" t="inlineStr">
        <is>
          <t>บังคับ</t>
        </is>
      </c>
      <c r="E196" s="18" t="inlineStr">
        <is>
          <t>FK</t>
        </is>
      </c>
      <c r="F196" s="5" t="inlineStr">
        <is>
          <t>Users.email</t>
        </is>
      </c>
      <c r="G196" s="5" t="inlineStr">
        <is>
          <t>ผู้แจ้ง</t>
        </is>
      </c>
      <c r="H196" s="17" t="inlineStr">
        <is>
          <t>ระบบสร้าง/คำนวณ</t>
        </is>
      </c>
      <c r="I196" s="19" t="inlineStr"/>
    </row>
    <row r="197">
      <c r="A197" s="5" t="inlineStr">
        <is>
          <t>Issues</t>
        </is>
      </c>
      <c r="B197" s="5" t="inlineStr">
        <is>
          <t>reported_role</t>
        </is>
      </c>
      <c r="C197" s="17" t="inlineStr">
        <is>
          <t>ENUM</t>
        </is>
      </c>
      <c r="D197" s="17" t="inlineStr">
        <is>
          <t>บังคับ</t>
        </is>
      </c>
      <c r="E197" s="18" t="inlineStr"/>
      <c r="F197" s="5" t="inlineStr">
        <is>
          <t>SR / QC / LS / WH / AC / GM</t>
        </is>
      </c>
      <c r="G197" s="5" t="inlineStr">
        <is>
          <t>แผนกผู้แจ้ง</t>
        </is>
      </c>
      <c r="H197" s="17" t="inlineStr">
        <is>
          <t>ระบบสร้าง/คำนวณ</t>
        </is>
      </c>
      <c r="I197" s="19" t="inlineStr"/>
    </row>
    <row r="198">
      <c r="A198" s="5" t="inlineStr">
        <is>
          <t>Issues</t>
        </is>
      </c>
      <c r="B198" s="5" t="inlineStr">
        <is>
          <t>user_agent</t>
        </is>
      </c>
      <c r="C198" s="17" t="inlineStr">
        <is>
          <t>TEXT</t>
        </is>
      </c>
      <c r="D198" s="17" t="inlineStr">
        <is>
          <t>ไม่บังคับ</t>
        </is>
      </c>
      <c r="E198" s="18" t="inlineStr"/>
      <c r="F198" s="5" t="inlineStr"/>
      <c r="G198" s="5" t="inlineStr">
        <is>
          <t>เบราว์เซอร์ — ระบบเก็บเอง</t>
        </is>
      </c>
      <c r="H198" s="17" t="inlineStr">
        <is>
          <t>ระบบสร้าง/คำนวณ</t>
        </is>
      </c>
      <c r="I198" s="19" t="inlineStr"/>
    </row>
    <row r="199">
      <c r="A199" s="5" t="inlineStr">
        <is>
          <t>Issues</t>
        </is>
      </c>
      <c r="B199" s="5" t="inlineStr">
        <is>
          <t>screen_size</t>
        </is>
      </c>
      <c r="C199" s="17" t="inlineStr">
        <is>
          <t>TEXT</t>
        </is>
      </c>
      <c r="D199" s="17" t="inlineStr">
        <is>
          <t>ไม่บังคับ</t>
        </is>
      </c>
      <c r="E199" s="18" t="inlineStr"/>
      <c r="F199" s="5" t="inlineStr">
        <is>
          <t>1440x900</t>
        </is>
      </c>
      <c r="G199" s="5" t="inlineStr">
        <is>
          <t>ขนาดจอ — ระบบเก็บเอง</t>
        </is>
      </c>
      <c r="H199" s="17" t="inlineStr">
        <is>
          <t>ระบบสร้าง/คำนวณ</t>
        </is>
      </c>
      <c r="I199" s="19" t="inlineStr"/>
    </row>
    <row r="200">
      <c r="A200" s="5" t="inlineStr">
        <is>
          <t>Issues</t>
        </is>
      </c>
      <c r="B200" s="5" t="inlineStr">
        <is>
          <t>last_actions_json</t>
        </is>
      </c>
      <c r="C200" s="17" t="inlineStr">
        <is>
          <t>JSON</t>
        </is>
      </c>
      <c r="D200" s="17" t="inlineStr">
        <is>
          <t>ไม่บังคับ</t>
        </is>
      </c>
      <c r="E200" s="18" t="inlineStr"/>
      <c r="F200" s="5" t="inlineStr"/>
      <c r="G200" s="5" t="inlineStr">
        <is>
          <t>20 การกระทำล่าสุดก่อนเกิดปัญหา</t>
        </is>
      </c>
      <c r="H200" s="17" t="inlineStr">
        <is>
          <t>ระบบสร้าง/คำนวณ</t>
        </is>
      </c>
      <c r="I200" s="19" t="inlineStr"/>
    </row>
    <row r="201">
      <c r="A201" s="5" t="inlineStr">
        <is>
          <t>Issues</t>
        </is>
      </c>
      <c r="B201" s="5" t="inlineStr">
        <is>
          <t>console_error</t>
        </is>
      </c>
      <c r="C201" s="17" t="inlineStr">
        <is>
          <t>TEXT</t>
        </is>
      </c>
      <c r="D201" s="17" t="inlineStr">
        <is>
          <t>ไม่บังคับ</t>
        </is>
      </c>
      <c r="E201" s="18" t="inlineStr"/>
      <c r="F201" s="5" t="inlineStr"/>
      <c r="G201" s="5" t="inlineStr">
        <is>
          <t>ข้อผิดพลาดล่าสุดในเบราว์เซอร์</t>
        </is>
      </c>
      <c r="H201" s="17" t="inlineStr">
        <is>
          <t>ระบบสร้าง/คำนวณ</t>
        </is>
      </c>
      <c r="I201" s="19" t="inlineStr"/>
    </row>
    <row r="202">
      <c r="A202" s="5" t="inlineStr">
        <is>
          <t>Issues</t>
        </is>
      </c>
      <c r="B202" s="5" t="inlineStr">
        <is>
          <t>stack_hash</t>
        </is>
      </c>
      <c r="C202" s="17" t="inlineStr">
        <is>
          <t>TEXT</t>
        </is>
      </c>
      <c r="D202" s="17" t="inlineStr">
        <is>
          <t>ไม่บังคับ</t>
        </is>
      </c>
      <c r="E202" s="18" t="inlineStr"/>
      <c r="F202" s="5" t="inlineStr"/>
      <c r="G202" s="5" t="inlineStr">
        <is>
          <t>ใช้รวมเรื่องซ้ำเป็นใบเดียว</t>
        </is>
      </c>
      <c r="H202" s="17" t="inlineStr">
        <is>
          <t>ระบบสร้าง/คำนวณ</t>
        </is>
      </c>
      <c r="I202" s="19" t="inlineStr"/>
    </row>
    <row r="203">
      <c r="A203" s="5" t="inlineStr">
        <is>
          <t>Issues</t>
        </is>
      </c>
      <c r="B203" s="5" t="inlineStr">
        <is>
          <t>occurrences</t>
        </is>
      </c>
      <c r="C203" s="17" t="inlineStr">
        <is>
          <t>NUMBER</t>
        </is>
      </c>
      <c r="D203" s="17" t="inlineStr">
        <is>
          <t>บังคับ</t>
        </is>
      </c>
      <c r="E203" s="18" t="inlineStr"/>
      <c r="F203" s="5" t="inlineStr">
        <is>
          <t>1</t>
        </is>
      </c>
      <c r="G203" s="5" t="inlineStr">
        <is>
          <t>เจอกี่ครั้ง</t>
        </is>
      </c>
      <c r="H203" s="17" t="inlineStr">
        <is>
          <t>ระบบสร้าง/คำนวณ</t>
        </is>
      </c>
      <c r="I203" s="19" t="inlineStr"/>
    </row>
    <row r="204">
      <c r="A204" s="5" t="inlineStr">
        <is>
          <t>Issues</t>
        </is>
      </c>
      <c r="B204" s="5" t="inlineStr">
        <is>
          <t>screenshot_file_id</t>
        </is>
      </c>
      <c r="C204" s="17" t="inlineStr">
        <is>
          <t>FILE_ID</t>
        </is>
      </c>
      <c r="D204" s="17" t="inlineStr">
        <is>
          <t>ไม่บังคับ</t>
        </is>
      </c>
      <c r="E204" s="18" t="inlineStr"/>
      <c r="F204" s="5" t="inlineStr"/>
      <c r="G204" s="5" t="inlineStr">
        <is>
          <t>ภาพหน้าจอ</t>
        </is>
      </c>
      <c r="H204" s="17" t="inlineStr">
        <is>
          <t>ระบบสร้าง/คำนวณ</t>
        </is>
      </c>
      <c r="I204" s="19" t="inlineStr"/>
    </row>
    <row r="205">
      <c r="A205" s="5" t="inlineStr">
        <is>
          <t>Issues</t>
        </is>
      </c>
      <c r="B205" s="5" t="inlineStr">
        <is>
          <t>status</t>
        </is>
      </c>
      <c r="C205" s="17" t="inlineStr">
        <is>
          <t>ENUM</t>
        </is>
      </c>
      <c r="D205" s="17" t="inlineStr">
        <is>
          <t>บังคับ</t>
        </is>
      </c>
      <c r="E205" s="18" t="inlineStr"/>
      <c r="F205" s="5" t="inlineStr">
        <is>
          <t>NEW / ACK / FIXING / FIXED / CLOSED / WONTFIX</t>
        </is>
      </c>
      <c r="G205" s="5" t="inlineStr">
        <is>
          <t>สถานะ — ไม่มีการลบ ปิดได้อย่างเดียว</t>
        </is>
      </c>
      <c r="H205" s="23" t="inlineStr">
        <is>
          <t>คนกรอก</t>
        </is>
      </c>
      <c r="I205" s="19" t="inlineStr"/>
    </row>
    <row r="206">
      <c r="A206" s="5" t="inlineStr">
        <is>
          <t>Issues</t>
        </is>
      </c>
      <c r="B206" s="5" t="inlineStr">
        <is>
          <t>assigned_to</t>
        </is>
      </c>
      <c r="C206" s="17" t="inlineStr">
        <is>
          <t>TEXT</t>
        </is>
      </c>
      <c r="D206" s="17" t="inlineStr">
        <is>
          <t>ไม่บังคับ</t>
        </is>
      </c>
      <c r="E206" s="18" t="inlineStr"/>
      <c r="F206" s="5" t="inlineStr"/>
      <c r="G206" s="5" t="inlineStr">
        <is>
          <t>ผู้รับผิดชอบฝั่ง IT</t>
        </is>
      </c>
      <c r="H206" s="23" t="inlineStr">
        <is>
          <t>คนกรอก</t>
        </is>
      </c>
      <c r="I206" s="19" t="inlineStr"/>
    </row>
    <row r="207">
      <c r="A207" s="5" t="inlineStr">
        <is>
          <t>Issues</t>
        </is>
      </c>
      <c r="B207" s="5" t="inlineStr">
        <is>
          <t>acked_at</t>
        </is>
      </c>
      <c r="C207" s="17" t="inlineStr">
        <is>
          <t>DATETIME</t>
        </is>
      </c>
      <c r="D207" s="17" t="inlineStr">
        <is>
          <t>ไม่บังคับ</t>
        </is>
      </c>
      <c r="E207" s="18" t="inlineStr"/>
      <c r="F207" s="5" t="inlineStr"/>
      <c r="G207" s="5" t="inlineStr">
        <is>
          <t>เวลาที่ IT รับเรื่อง (SLA 1 วันทำการ)</t>
        </is>
      </c>
      <c r="H207" s="17" t="inlineStr">
        <is>
          <t>ระบบสร้าง/คำนวณ</t>
        </is>
      </c>
      <c r="I207" s="19" t="inlineStr"/>
    </row>
    <row r="208">
      <c r="A208" s="5" t="inlineStr">
        <is>
          <t>Issues</t>
        </is>
      </c>
      <c r="B208" s="5" t="inlineStr">
        <is>
          <t>fixed_at</t>
        </is>
      </c>
      <c r="C208" s="17" t="inlineStr">
        <is>
          <t>DATETIME</t>
        </is>
      </c>
      <c r="D208" s="17" t="inlineStr">
        <is>
          <t>ไม่บังคับ</t>
        </is>
      </c>
      <c r="E208" s="18" t="inlineStr"/>
      <c r="F208" s="5" t="inlineStr"/>
      <c r="G208" s="5" t="inlineStr">
        <is>
          <t>เวลาที่แก้เสร็จ</t>
        </is>
      </c>
      <c r="H208" s="17" t="inlineStr">
        <is>
          <t>ระบบสร้าง/คำนวณ</t>
        </is>
      </c>
      <c r="I208" s="19" t="inlineStr"/>
    </row>
    <row r="209">
      <c r="A209" s="5" t="inlineStr">
        <is>
          <t>Issues</t>
        </is>
      </c>
      <c r="B209" s="5" t="inlineStr">
        <is>
          <t>fix_note</t>
        </is>
      </c>
      <c r="C209" s="17" t="inlineStr">
        <is>
          <t>TEXT</t>
        </is>
      </c>
      <c r="D209" s="17" t="inlineStr">
        <is>
          <t>ไม่บังคับ</t>
        </is>
      </c>
      <c r="E209" s="18" t="inlineStr"/>
      <c r="F209" s="5" t="inlineStr"/>
      <c r="G209" s="5" t="inlineStr">
        <is>
          <t>แก้อะไรไป</t>
        </is>
      </c>
      <c r="H209" s="23" t="inlineStr">
        <is>
          <t>คนกรอก</t>
        </is>
      </c>
      <c r="I209" s="19" t="inlineStr"/>
    </row>
    <row r="210">
      <c r="A210" s="5" t="inlineStr">
        <is>
          <t>Issues</t>
        </is>
      </c>
      <c r="B210" s="5" t="inlineStr">
        <is>
          <t>confirmed_by_reporter</t>
        </is>
      </c>
      <c r="C210" s="17" t="inlineStr">
        <is>
          <t>BOOLEAN</t>
        </is>
      </c>
      <c r="D210" s="17" t="inlineStr">
        <is>
          <t>ไม่บังคับ</t>
        </is>
      </c>
      <c r="E210" s="18" t="inlineStr"/>
      <c r="F210" s="5" t="inlineStr">
        <is>
          <t>TRUE / FALSE</t>
        </is>
      </c>
      <c r="G210" s="5" t="inlineStr">
        <is>
          <t>ผู้แจ้งยืนยันว่าใช้ได้แล้ว — คนแจ้งเป็นคนปิด ไม่ใช่ IT</t>
        </is>
      </c>
      <c r="H210" s="23" t="inlineStr">
        <is>
          <t>คนกรอก</t>
        </is>
      </c>
      <c r="I210" s="19" t="inlineStr"/>
    </row>
    <row r="211">
      <c r="A211" s="5" t="inlineStr">
        <is>
          <t>Issues</t>
        </is>
      </c>
      <c r="B211" s="5" t="inlineStr">
        <is>
          <t>created_at</t>
        </is>
      </c>
      <c r="C211" s="17" t="inlineStr">
        <is>
          <t>DATETIME</t>
        </is>
      </c>
      <c r="D211" s="17" t="inlineStr">
        <is>
          <t>บังคับ</t>
        </is>
      </c>
      <c r="E211" s="18" t="inlineStr"/>
      <c r="F211" s="5" t="inlineStr"/>
      <c r="G211" s="5" t="inlineStr"/>
      <c r="H211" s="17" t="inlineStr">
        <is>
          <t>ระบบสร้าง/คำนวณ</t>
        </is>
      </c>
      <c r="I211" s="19" t="inlineStr"/>
    </row>
    <row r="212">
      <c r="A212" s="10" t="inlineStr">
        <is>
          <t>Claims</t>
        </is>
      </c>
      <c r="B212" s="5" t="inlineStr">
        <is>
          <t>claim_id</t>
        </is>
      </c>
      <c r="C212" s="17" t="inlineStr">
        <is>
          <t>UUID</t>
        </is>
      </c>
      <c r="D212" s="17" t="inlineStr">
        <is>
          <t>บังคับ</t>
        </is>
      </c>
      <c r="E212" s="18" t="inlineStr">
        <is>
          <t>PK</t>
        </is>
      </c>
      <c r="F212" s="5" t="inlineStr"/>
      <c r="G212" s="5" t="inlineStr">
        <is>
          <t>คีย์ภายใน</t>
        </is>
      </c>
      <c r="H212" s="17" t="inlineStr">
        <is>
          <t>ระบบสร้าง/คำนวณ</t>
        </is>
      </c>
      <c r="I212" s="19" t="inlineStr"/>
    </row>
    <row r="213">
      <c r="A213" s="5" t="inlineStr">
        <is>
          <t>Claims</t>
        </is>
      </c>
      <c r="B213" s="5" t="inlineStr">
        <is>
          <t>claim_no</t>
        </is>
      </c>
      <c r="C213" s="17" t="inlineStr">
        <is>
          <t>TEXT</t>
        </is>
      </c>
      <c r="D213" s="17" t="inlineStr">
        <is>
          <t>บังคับ</t>
        </is>
      </c>
      <c r="E213" s="18" t="inlineStr">
        <is>
          <t>UQ</t>
        </is>
      </c>
      <c r="F213" s="5" t="inlineStr">
        <is>
          <t>EX-2026001 / CL-26-0004</t>
        </is>
      </c>
      <c r="G213" s="5" t="inlineStr">
        <is>
          <t>เลขที่ใบเคลม</t>
        </is>
      </c>
      <c r="H213" s="17" t="inlineStr">
        <is>
          <t>ระบบสร้าง/คำนวณ</t>
        </is>
      </c>
      <c r="I213" s="19" t="inlineStr"/>
    </row>
    <row r="214">
      <c r="A214" s="5" t="inlineStr">
        <is>
          <t>Claims</t>
        </is>
      </c>
      <c r="B214" s="5" t="inlineStr">
        <is>
          <t>source</t>
        </is>
      </c>
      <c r="C214" s="17" t="inlineStr">
        <is>
          <t>ENUM</t>
        </is>
      </c>
      <c r="D214" s="17" t="inlineStr">
        <is>
          <t>บังคับ</t>
        </is>
      </c>
      <c r="E214" s="18" t="inlineStr"/>
      <c r="F214" s="5" t="inlineStr">
        <is>
          <t>CUSTOMER / INCOMING</t>
        </is>
      </c>
      <c r="G214" s="5" t="inlineStr">
        <is>
          <t>มาจากลูกค้าร้องเรียน หรือตรวจรับไม่ผ่าน — เปลี่ยนทั้งคนกรอกและเอกสารอ้างอิง</t>
        </is>
      </c>
      <c r="H214" s="23" t="inlineStr">
        <is>
          <t>คนกรอก</t>
        </is>
      </c>
      <c r="I214" s="19" t="inlineStr"/>
    </row>
    <row r="215">
      <c r="A215" s="5" t="inlineStr">
        <is>
          <t>Claims</t>
        </is>
      </c>
      <c r="B215" s="5" t="inlineStr">
        <is>
          <t>claim_date</t>
        </is>
      </c>
      <c r="C215" s="17" t="inlineStr">
        <is>
          <t>DATE</t>
        </is>
      </c>
      <c r="D215" s="17" t="inlineStr">
        <is>
          <t>บังคับ</t>
        </is>
      </c>
      <c r="E215" s="18" t="inlineStr"/>
      <c r="F215" s="5" t="inlineStr"/>
      <c r="G215" s="5" t="inlineStr">
        <is>
          <t>วันที่เปิดเรื่อง</t>
        </is>
      </c>
      <c r="H215" s="23" t="inlineStr">
        <is>
          <t>คนกรอก</t>
        </is>
      </c>
      <c r="I215" s="19" t="inlineStr"/>
    </row>
    <row r="216">
      <c r="A216" s="5" t="inlineStr">
        <is>
          <t>Claims</t>
        </is>
      </c>
      <c r="B216" s="5" t="inlineStr">
        <is>
          <t>product_group</t>
        </is>
      </c>
      <c r="C216" s="17" t="inlineStr">
        <is>
          <t>TEXT</t>
        </is>
      </c>
      <c r="D216" s="17" t="inlineStr">
        <is>
          <t>ไม่บังคับ</t>
        </is>
      </c>
      <c r="E216" s="18" t="inlineStr"/>
      <c r="F216" s="5" t="inlineStr"/>
      <c r="G216" s="5" t="inlineStr">
        <is>
          <t>กลุ่มสินค้า</t>
        </is>
      </c>
      <c r="H216" s="23" t="inlineStr">
        <is>
          <t>คนกรอก</t>
        </is>
      </c>
      <c r="I216" s="19" t="inlineStr"/>
    </row>
    <row r="217">
      <c r="A217" s="5" t="inlineStr">
        <is>
          <t>Claims</t>
        </is>
      </c>
      <c r="B217" s="5" t="inlineStr">
        <is>
          <t>seller_name</t>
        </is>
      </c>
      <c r="C217" s="17" t="inlineStr">
        <is>
          <t>TEXT</t>
        </is>
      </c>
      <c r="D217" s="17" t="inlineStr">
        <is>
          <t>ไม่บังคับ</t>
        </is>
      </c>
      <c r="E217" s="18" t="inlineStr"/>
      <c r="F217" s="5" t="inlineStr"/>
      <c r="G217" s="5" t="inlineStr">
        <is>
          <t>ส่วนที่ 1 — ชื่อผู้ขายฝั่งเรา</t>
        </is>
      </c>
      <c r="H217" s="23" t="inlineStr">
        <is>
          <t>คนกรอก</t>
        </is>
      </c>
      <c r="I217" s="19" t="inlineStr"/>
    </row>
    <row r="218">
      <c r="A218" s="5" t="inlineStr">
        <is>
          <t>Claims</t>
        </is>
      </c>
      <c r="B218" s="5" t="inlineStr">
        <is>
          <t>seller_unit</t>
        </is>
      </c>
      <c r="C218" s="17" t="inlineStr">
        <is>
          <t>TEXT</t>
        </is>
      </c>
      <c r="D218" s="17" t="inlineStr">
        <is>
          <t>ไม่บังคับ</t>
        </is>
      </c>
      <c r="E218" s="18" t="inlineStr"/>
      <c r="F218" s="5" t="inlineStr"/>
      <c r="G218" s="5" t="inlineStr">
        <is>
          <t>ส่วนที่ 1 — หน่วยงาน</t>
        </is>
      </c>
      <c r="H218" s="23" t="inlineStr">
        <is>
          <t>คนกรอก</t>
        </is>
      </c>
      <c r="I218" s="19" t="inlineStr"/>
    </row>
    <row r="219">
      <c r="A219" s="5" t="inlineStr">
        <is>
          <t>Claims</t>
        </is>
      </c>
      <c r="B219" s="5" t="inlineStr">
        <is>
          <t>seller_position</t>
        </is>
      </c>
      <c r="C219" s="17" t="inlineStr">
        <is>
          <t>TEXT</t>
        </is>
      </c>
      <c r="D219" s="17" t="inlineStr">
        <is>
          <t>ไม่บังคับ</t>
        </is>
      </c>
      <c r="E219" s="18" t="inlineStr"/>
      <c r="F219" s="5" t="inlineStr"/>
      <c r="G219" s="5" t="inlineStr">
        <is>
          <t>ส่วนที่ 1 — ตำแหน่ง</t>
        </is>
      </c>
      <c r="H219" s="23" t="inlineStr">
        <is>
          <t>คนกรอก</t>
        </is>
      </c>
      <c r="I219" s="19" t="inlineStr"/>
    </row>
    <row r="220">
      <c r="A220" s="5" t="inlineStr">
        <is>
          <t>Claims</t>
        </is>
      </c>
      <c r="B220" s="5" t="inlineStr">
        <is>
          <t>customer_name</t>
        </is>
      </c>
      <c r="C220" s="17" t="inlineStr">
        <is>
          <t>TEXT</t>
        </is>
      </c>
      <c r="D220" s="17" t="inlineStr">
        <is>
          <t>ไม่บังคับ</t>
        </is>
      </c>
      <c r="E220" s="18" t="inlineStr"/>
      <c r="F220" s="5" t="inlineStr"/>
      <c r="G220" s="5" t="inlineStr">
        <is>
          <t>ส่วนที่ 1 — ลูกค้าที่ร้องเรียน</t>
        </is>
      </c>
      <c r="H220" s="23" t="inlineStr">
        <is>
          <t>คนกรอก</t>
        </is>
      </c>
      <c r="I220" s="19" t="inlineStr"/>
    </row>
    <row r="221">
      <c r="A221" s="5" t="inlineStr">
        <is>
          <t>Claims</t>
        </is>
      </c>
      <c r="B221" s="5" t="inlineStr">
        <is>
          <t>pi_no</t>
        </is>
      </c>
      <c r="C221" s="17" t="inlineStr">
        <is>
          <t>TEXT</t>
        </is>
      </c>
      <c r="D221" s="17" t="inlineStr">
        <is>
          <t>ไม่บังคับ</t>
        </is>
      </c>
      <c r="E221" s="18" t="inlineStr"/>
      <c r="F221" s="5" t="inlineStr"/>
      <c r="G221" s="5" t="inlineStr">
        <is>
          <t>ส่วนที่ 1 — เลขที่ PI (ฝั่งขาย)</t>
        </is>
      </c>
      <c r="H221" s="23" t="inlineStr">
        <is>
          <t>คนกรอก</t>
        </is>
      </c>
      <c r="I221" s="19" t="inlineStr"/>
    </row>
    <row r="222">
      <c r="A222" s="5" t="inlineStr">
        <is>
          <t>Claims</t>
        </is>
      </c>
      <c r="B222" s="5" t="inlineStr">
        <is>
          <t>dn_no</t>
        </is>
      </c>
      <c r="C222" s="17" t="inlineStr">
        <is>
          <t>TEXT</t>
        </is>
      </c>
      <c r="D222" s="17" t="inlineStr">
        <is>
          <t>ไม่บังคับ</t>
        </is>
      </c>
      <c r="E222" s="18" t="inlineStr"/>
      <c r="F222" s="5" t="inlineStr"/>
      <c r="G222" s="5" t="inlineStr">
        <is>
          <t>ส่วนที่ 1 — เลขที่ DN (ฝั่งขาย)</t>
        </is>
      </c>
      <c r="H222" s="23" t="inlineStr">
        <is>
          <t>คนกรอก</t>
        </is>
      </c>
      <c r="I222" s="19" t="inlineStr"/>
    </row>
    <row r="223">
      <c r="A223" s="5" t="inlineStr">
        <is>
          <t>Claims</t>
        </is>
      </c>
      <c r="B223" s="5" t="inlineStr">
        <is>
          <t>buy_date</t>
        </is>
      </c>
      <c r="C223" s="17" t="inlineStr">
        <is>
          <t>DATE</t>
        </is>
      </c>
      <c r="D223" s="17" t="inlineStr">
        <is>
          <t>ไม่บังคับ</t>
        </is>
      </c>
      <c r="E223" s="18" t="inlineStr"/>
      <c r="F223" s="5" t="inlineStr"/>
      <c r="G223" s="5" t="inlineStr">
        <is>
          <t>ส่วนที่ 1 — วันที่ซื้อ</t>
        </is>
      </c>
      <c r="H223" s="23" t="inlineStr">
        <is>
          <t>คนกรอก</t>
        </is>
      </c>
      <c r="I223" s="19" t="inlineStr"/>
    </row>
    <row r="224">
      <c r="A224" s="5" t="inlineStr">
        <is>
          <t>Claims</t>
        </is>
      </c>
      <c r="B224" s="5" t="inlineStr">
        <is>
          <t>item_name</t>
        </is>
      </c>
      <c r="C224" s="17" t="inlineStr">
        <is>
          <t>TEXT</t>
        </is>
      </c>
      <c r="D224" s="17" t="inlineStr">
        <is>
          <t>บังคับ</t>
        </is>
      </c>
      <c r="E224" s="18" t="inlineStr"/>
      <c r="F224" s="5" t="inlineStr"/>
      <c r="G224" s="5" t="inlineStr">
        <is>
          <t>ส่วนที่ 1 — สินค้า</t>
        </is>
      </c>
      <c r="H224" s="23" t="inlineStr">
        <is>
          <t>คนกรอก</t>
        </is>
      </c>
      <c r="I224" s="19" t="inlineStr"/>
    </row>
    <row r="225">
      <c r="A225" s="5" t="inlineStr">
        <is>
          <t>Claims</t>
        </is>
      </c>
      <c r="B225" s="5" t="inlineStr">
        <is>
          <t>brand</t>
        </is>
      </c>
      <c r="C225" s="17" t="inlineStr">
        <is>
          <t>TEXT</t>
        </is>
      </c>
      <c r="D225" s="17" t="inlineStr">
        <is>
          <t>ไม่บังคับ</t>
        </is>
      </c>
      <c r="E225" s="18" t="inlineStr"/>
      <c r="F225" s="5" t="inlineStr"/>
      <c r="G225" s="5" t="inlineStr">
        <is>
          <t>ส่วนที่ 1 — แบรนด์</t>
        </is>
      </c>
      <c r="H225" s="23" t="inlineStr">
        <is>
          <t>คนกรอก</t>
        </is>
      </c>
      <c r="I225" s="19" t="inlineStr"/>
    </row>
    <row r="226">
      <c r="A226" s="5" t="inlineStr">
        <is>
          <t>Claims</t>
        </is>
      </c>
      <c r="B226" s="5" t="inlineStr">
        <is>
          <t>lot_no</t>
        </is>
      </c>
      <c r="C226" s="17" t="inlineStr">
        <is>
          <t>TEXT</t>
        </is>
      </c>
      <c r="D226" s="17" t="inlineStr">
        <is>
          <t>ไม่บังคับ</t>
        </is>
      </c>
      <c r="E226" s="18" t="inlineStr"/>
      <c r="F226" s="5" t="inlineStr"/>
      <c r="G226" s="5" t="inlineStr">
        <is>
          <t>ส่วนที่ 1 — เลข Lot</t>
        </is>
      </c>
      <c r="H226" s="23" t="inlineStr">
        <is>
          <t>คนกรอก</t>
        </is>
      </c>
      <c r="I226" s="19" t="inlineStr"/>
    </row>
    <row r="227">
      <c r="A227" s="5" t="inlineStr">
        <is>
          <t>Claims</t>
        </is>
      </c>
      <c r="B227" s="5" t="inlineStr">
        <is>
          <t>warehouse</t>
        </is>
      </c>
      <c r="C227" s="17" t="inlineStr">
        <is>
          <t>TEXT</t>
        </is>
      </c>
      <c r="D227" s="17" t="inlineStr">
        <is>
          <t>ไม่บังคับ</t>
        </is>
      </c>
      <c r="E227" s="18" t="inlineStr"/>
      <c r="F227" s="5" t="inlineStr"/>
      <c r="G227" s="5" t="inlineStr">
        <is>
          <t>ส่วนที่ 1 — คลัง</t>
        </is>
      </c>
      <c r="H227" s="23" t="inlineStr">
        <is>
          <t>คนกรอก</t>
        </is>
      </c>
      <c r="I227" s="19" t="inlineStr"/>
    </row>
    <row r="228">
      <c r="A228" s="5" t="inlineStr">
        <is>
          <t>Claims</t>
        </is>
      </c>
      <c r="B228" s="5" t="inlineStr">
        <is>
          <t>packing</t>
        </is>
      </c>
      <c r="C228" s="17" t="inlineStr">
        <is>
          <t>TEXT</t>
        </is>
      </c>
      <c r="D228" s="17" t="inlineStr">
        <is>
          <t>ไม่บังคับ</t>
        </is>
      </c>
      <c r="E228" s="18" t="inlineStr"/>
      <c r="F228" s="5" t="inlineStr"/>
      <c r="G228" s="5" t="inlineStr">
        <is>
          <t>ส่วนที่ 1 — ขนาดบรรจุ</t>
        </is>
      </c>
      <c r="H228" s="23" t="inlineStr">
        <is>
          <t>คนกรอก</t>
        </is>
      </c>
      <c r="I228" s="19" t="inlineStr"/>
    </row>
    <row r="229">
      <c r="A229" s="5" t="inlineStr">
        <is>
          <t>Claims</t>
        </is>
      </c>
      <c r="B229" s="5" t="inlineStr">
        <is>
          <t>qty_defect</t>
        </is>
      </c>
      <c r="C229" s="17" t="inlineStr">
        <is>
          <t>NUMBER</t>
        </is>
      </c>
      <c r="D229" s="17" t="inlineStr">
        <is>
          <t>ไม่บังคับ</t>
        </is>
      </c>
      <c r="E229" s="18" t="inlineStr"/>
      <c r="F229" s="5" t="inlineStr"/>
      <c r="G229" s="5" t="inlineStr">
        <is>
          <t>ส่วนที่ 1 — จำนวนที่มีปัญหา</t>
        </is>
      </c>
      <c r="H229" s="23" t="inlineStr">
        <is>
          <t>คนกรอก</t>
        </is>
      </c>
      <c r="I229" s="19" t="inlineStr"/>
    </row>
    <row r="230">
      <c r="A230" s="5" t="inlineStr">
        <is>
          <t>Claims</t>
        </is>
      </c>
      <c r="B230" s="5" t="inlineStr">
        <is>
          <t>uom</t>
        </is>
      </c>
      <c r="C230" s="17" t="inlineStr">
        <is>
          <t>TEXT</t>
        </is>
      </c>
      <c r="D230" s="17" t="inlineStr">
        <is>
          <t>ไม่บังคับ</t>
        </is>
      </c>
      <c r="E230" s="18" t="inlineStr"/>
      <c r="F230" s="5" t="inlineStr">
        <is>
          <t>KG</t>
        </is>
      </c>
      <c r="G230" s="5" t="inlineStr">
        <is>
          <t>หน่วยนับ</t>
        </is>
      </c>
      <c r="H230" s="23" t="inlineStr">
        <is>
          <t>คนกรอก</t>
        </is>
      </c>
      <c r="I230" s="19" t="inlineStr"/>
    </row>
    <row r="231">
      <c r="A231" s="5" t="inlineStr">
        <is>
          <t>Claims</t>
        </is>
      </c>
      <c r="B231" s="5" t="inlineStr">
        <is>
          <t>weight_kg</t>
        </is>
      </c>
      <c r="C231" s="17" t="inlineStr">
        <is>
          <t>NUMBER</t>
        </is>
      </c>
      <c r="D231" s="17" t="inlineStr">
        <is>
          <t>ไม่บังคับ</t>
        </is>
      </c>
      <c r="E231" s="18" t="inlineStr"/>
      <c r="F231" s="5" t="inlineStr"/>
      <c r="G231" s="5" t="inlineStr">
        <is>
          <t>น้ำหนัก</t>
        </is>
      </c>
      <c r="H231" s="23" t="inlineStr">
        <is>
          <t>คนกรอก</t>
        </is>
      </c>
      <c r="I231" s="19" t="inlineStr"/>
    </row>
    <row r="232">
      <c r="A232" s="5" t="inlineStr">
        <is>
          <t>Claims</t>
        </is>
      </c>
      <c r="B232" s="5" t="inlineStr">
        <is>
          <t>description</t>
        </is>
      </c>
      <c r="C232" s="17" t="inlineStr">
        <is>
          <t>TEXT</t>
        </is>
      </c>
      <c r="D232" s="17" t="inlineStr">
        <is>
          <t>บังคับ</t>
        </is>
      </c>
      <c r="E232" s="18" t="inlineStr"/>
      <c r="F232" s="5" t="inlineStr"/>
      <c r="G232" s="5" t="inlineStr">
        <is>
          <t>ส่วนที่ 1 — ลักษณะปัญหา</t>
        </is>
      </c>
      <c r="H232" s="23" t="inlineStr">
        <is>
          <t>คนกรอก</t>
        </is>
      </c>
      <c r="I232" s="19" t="inlineStr"/>
    </row>
    <row r="233">
      <c r="A233" s="5" t="inlineStr">
        <is>
          <t>Claims</t>
        </is>
      </c>
      <c r="B233" s="5" t="inlineStr">
        <is>
          <t>inspect_place</t>
        </is>
      </c>
      <c r="C233" s="17" t="inlineStr">
        <is>
          <t>TEXT</t>
        </is>
      </c>
      <c r="D233" s="17" t="inlineStr">
        <is>
          <t>ไม่บังคับ</t>
        </is>
      </c>
      <c r="E233" s="18" t="inlineStr"/>
      <c r="F233" s="5" t="inlineStr"/>
      <c r="G233" s="5" t="inlineStr">
        <is>
          <t>สถานที่ตรวจ</t>
        </is>
      </c>
      <c r="H233" s="23" t="inlineStr">
        <is>
          <t>คนกรอก</t>
        </is>
      </c>
      <c r="I233" s="19" t="inlineStr"/>
    </row>
    <row r="234">
      <c r="A234" s="5" t="inlineStr">
        <is>
          <t>Claims</t>
        </is>
      </c>
      <c r="B234" s="5" t="inlineStr">
        <is>
          <t>return_truck_type</t>
        </is>
      </c>
      <c r="C234" s="17" t="inlineStr">
        <is>
          <t>TEXT</t>
        </is>
      </c>
      <c r="D234" s="17" t="inlineStr">
        <is>
          <t>ไม่บังคับ</t>
        </is>
      </c>
      <c r="E234" s="18" t="inlineStr"/>
      <c r="F234" s="5" t="inlineStr"/>
      <c r="G234" s="5" t="inlineStr">
        <is>
          <t>ส่วนที่ 2 — ประเภทรถที่ส่งคืน</t>
        </is>
      </c>
      <c r="H234" s="23" t="inlineStr">
        <is>
          <t>คนกรอก</t>
        </is>
      </c>
      <c r="I234" s="19" t="inlineStr"/>
    </row>
    <row r="235">
      <c r="A235" s="5" t="inlineStr">
        <is>
          <t>Claims</t>
        </is>
      </c>
      <c r="B235" s="5" t="inlineStr">
        <is>
          <t>qc_result</t>
        </is>
      </c>
      <c r="C235" s="17" t="inlineStr">
        <is>
          <t>ENUM</t>
        </is>
      </c>
      <c r="D235" s="17" t="inlineStr">
        <is>
          <t>ไม่บังคับ</t>
        </is>
      </c>
      <c r="E235" s="18" t="inlineStr"/>
      <c r="F235" s="5" t="inlineStr">
        <is>
          <t>PASS / FAIL</t>
        </is>
      </c>
      <c r="G235" s="5" t="inlineStr">
        <is>
          <t>ส่วนที่ 2 — ผลตรวจ · FAIL จะเปิดส่วนที่ 3 ให้เอง</t>
        </is>
      </c>
      <c r="H235" s="23" t="inlineStr">
        <is>
          <t>คนกรอก</t>
        </is>
      </c>
      <c r="I235" s="19" t="inlineStr"/>
    </row>
    <row r="236">
      <c r="A236" s="5" t="inlineStr">
        <is>
          <t>Claims</t>
        </is>
      </c>
      <c r="B236" s="5" t="inlineStr">
        <is>
          <t>qc_note</t>
        </is>
      </c>
      <c r="C236" s="17" t="inlineStr">
        <is>
          <t>TEXT</t>
        </is>
      </c>
      <c r="D236" s="17" t="inlineStr">
        <is>
          <t>ไม่บังคับ</t>
        </is>
      </c>
      <c r="E236" s="18" t="inlineStr"/>
      <c r="F236" s="5" t="inlineStr"/>
      <c r="G236" s="5" t="inlineStr">
        <is>
          <t>ส่วนที่ 2 — หมายเหตุ QC</t>
        </is>
      </c>
      <c r="H236" s="23" t="inlineStr">
        <is>
          <t>คนกรอก</t>
        </is>
      </c>
      <c r="I236" s="19" t="inlineStr"/>
    </row>
    <row r="237">
      <c r="A237" s="5" t="inlineStr">
        <is>
          <t>Claims</t>
        </is>
      </c>
      <c r="B237" s="5" t="inlineStr">
        <is>
          <t>customer_wants_doc</t>
        </is>
      </c>
      <c r="C237" s="17" t="inlineStr">
        <is>
          <t>BOOLEAN</t>
        </is>
      </c>
      <c r="D237" s="17" t="inlineStr">
        <is>
          <t>ไม่บังคับ</t>
        </is>
      </c>
      <c r="E237" s="18" t="inlineStr"/>
      <c r="F237" s="5" t="inlineStr">
        <is>
          <t>TRUE / FALSE</t>
        </is>
      </c>
      <c r="G237" s="5" t="inlineStr">
        <is>
          <t>ลูกค้าขอเอกสารหรือไม่</t>
        </is>
      </c>
      <c r="H237" s="23" t="inlineStr">
        <is>
          <t>คนกรอก</t>
        </is>
      </c>
      <c r="I237" s="19" t="inlineStr"/>
    </row>
    <row r="238">
      <c r="A238" s="5" t="inlineStr">
        <is>
          <t>Claims</t>
        </is>
      </c>
      <c r="B238" s="5" t="inlineStr">
        <is>
          <t>photo_count</t>
        </is>
      </c>
      <c r="C238" s="17" t="inlineStr">
        <is>
          <t>NUMBER</t>
        </is>
      </c>
      <c r="D238" s="17" t="inlineStr">
        <is>
          <t>ไม่บังคับ</t>
        </is>
      </c>
      <c r="E238" s="18" t="inlineStr"/>
      <c r="F238" s="5" t="inlineStr">
        <is>
          <t>3</t>
        </is>
      </c>
      <c r="G238" s="5" t="inlineStr">
        <is>
          <t>จำนวนรูปหลักฐาน</t>
        </is>
      </c>
      <c r="H238" s="17" t="inlineStr">
        <is>
          <t>ระบบสร้าง/คำนวณ</t>
        </is>
      </c>
      <c r="I238" s="19" t="inlineStr"/>
    </row>
    <row r="239">
      <c r="A239" s="5" t="inlineStr">
        <is>
          <t>Claims</t>
        </is>
      </c>
      <c r="B239" s="5" t="inlineStr">
        <is>
          <t>inspection_report_file_id</t>
        </is>
      </c>
      <c r="C239" s="17" t="inlineStr">
        <is>
          <t>FILE_ID</t>
        </is>
      </c>
      <c r="D239" s="17" t="inlineStr">
        <is>
          <t>ไม่บังคับ</t>
        </is>
      </c>
      <c r="E239" s="18" t="inlineStr"/>
      <c r="F239" s="5" t="inlineStr"/>
      <c r="G239" s="5" t="inlineStr">
        <is>
          <t>Inspection Report ที่ระบบสร้างจากส่วนที่ 2 — ไม่ต้องกรอกซ้ำ</t>
        </is>
      </c>
      <c r="H239" s="17" t="inlineStr">
        <is>
          <t>ระบบสร้าง/คำนวณ</t>
        </is>
      </c>
      <c r="I239" s="19" t="inlineStr"/>
    </row>
    <row r="240">
      <c r="A240" s="5" t="inlineStr">
        <is>
          <t>Claims</t>
        </is>
      </c>
      <c r="B240" s="5" t="inlineStr">
        <is>
          <t>supplier_code</t>
        </is>
      </c>
      <c r="C240" s="17" t="inlineStr">
        <is>
          <t>TEXT</t>
        </is>
      </c>
      <c r="D240" s="17" t="inlineStr">
        <is>
          <t>ไม่บังคับ</t>
        </is>
      </c>
      <c r="E240" s="18" t="inlineStr">
        <is>
          <t>FK</t>
        </is>
      </c>
      <c r="F240" s="5" t="inlineStr">
        <is>
          <t>Suppliers.supplier_code</t>
        </is>
      </c>
      <c r="G240" s="5" t="inlineStr">
        <is>
          <t>ส่วนที่ 3 — ผู้ขายที่เคลม</t>
        </is>
      </c>
      <c r="H240" s="23" t="inlineStr">
        <is>
          <t>คนกรอก</t>
        </is>
      </c>
      <c r="I240" s="19" t="inlineStr"/>
    </row>
    <row r="241">
      <c r="A241" s="5" t="inlineStr">
        <is>
          <t>Claims</t>
        </is>
      </c>
      <c r="B241" s="5" t="inlineStr">
        <is>
          <t>supplier_po_no</t>
        </is>
      </c>
      <c r="C241" s="17" t="inlineStr">
        <is>
          <t>TEXT</t>
        </is>
      </c>
      <c r="D241" s="17" t="inlineStr">
        <is>
          <t>ไม่บังคับ</t>
        </is>
      </c>
      <c r="E241" s="18" t="inlineStr"/>
      <c r="F241" s="5" t="inlineStr"/>
      <c r="G241" s="5" t="inlineStr">
        <is>
          <t>ส่วนที่ 3 — PO ของผู้ขาย</t>
        </is>
      </c>
      <c r="H241" s="23" t="inlineStr">
        <is>
          <t>คนกรอก</t>
        </is>
      </c>
      <c r="I241" s="19" t="inlineStr"/>
    </row>
    <row r="242">
      <c r="A242" s="5" t="inlineStr">
        <is>
          <t>Claims</t>
        </is>
      </c>
      <c r="B242" s="5" t="inlineStr">
        <is>
          <t>po_no</t>
        </is>
      </c>
      <c r="C242" s="17" t="inlineStr">
        <is>
          <t>TEXT</t>
        </is>
      </c>
      <c r="D242" s="17" t="inlineStr">
        <is>
          <t>ไม่บังคับ</t>
        </is>
      </c>
      <c r="E242" s="18" t="inlineStr">
        <is>
          <t>FK</t>
        </is>
      </c>
      <c r="F242" s="5" t="inlineStr">
        <is>
          <t>Purchase_Orders.po_no</t>
        </is>
      </c>
      <c r="G242" s="5" t="inlineStr">
        <is>
          <t>ส่วนที่ 3 — PO ฝั่งซื้อที่เกี่ยวข้อง</t>
        </is>
      </c>
      <c r="H242" s="23" t="inlineStr">
        <is>
          <t>คนกรอก</t>
        </is>
      </c>
      <c r="I242" s="19" t="inlineStr"/>
    </row>
    <row r="243">
      <c r="A243" s="5" t="inlineStr">
        <is>
          <t>Claims</t>
        </is>
      </c>
      <c r="B243" s="5" t="inlineStr">
        <is>
          <t>claim_status</t>
        </is>
      </c>
      <c r="C243" s="17" t="inlineStr">
        <is>
          <t>ENUM</t>
        </is>
      </c>
      <c r="D243" s="17" t="inlineStr">
        <is>
          <t>บังคับ</t>
        </is>
      </c>
      <c r="E243" s="18" t="inlineStr"/>
      <c r="F243" s="5" t="inlineStr">
        <is>
          <t>OPEN / SENT_TO_SUPPLIER / CN_RECEIVED / CLOSED</t>
        </is>
      </c>
      <c r="G243" s="5" t="inlineStr">
        <is>
          <t>สถานะเคลม</t>
        </is>
      </c>
      <c r="H243" s="17" t="inlineStr">
        <is>
          <t>ระบบสร้าง/คำนวณ</t>
        </is>
      </c>
      <c r="I243" s="19" t="inlineStr"/>
    </row>
    <row r="244">
      <c r="A244" s="5" t="inlineStr">
        <is>
          <t>Claims</t>
        </is>
      </c>
      <c r="B244" s="5" t="inlineStr">
        <is>
          <t>credit_note_no</t>
        </is>
      </c>
      <c r="C244" s="17" t="inlineStr">
        <is>
          <t>TEXT</t>
        </is>
      </c>
      <c r="D244" s="17" t="inlineStr">
        <is>
          <t>ไม่บังคับ</t>
        </is>
      </c>
      <c r="E244" s="18" t="inlineStr"/>
      <c r="F244" s="5" t="inlineStr"/>
      <c r="G244" s="5" t="inlineStr">
        <is>
          <t>เลขใบลดหนี้จากผู้ขาย</t>
        </is>
      </c>
      <c r="H244" s="23" t="inlineStr">
        <is>
          <t>คนกรอก</t>
        </is>
      </c>
      <c r="I244" s="19" t="inlineStr"/>
    </row>
    <row r="245">
      <c r="A245" s="5" t="inlineStr">
        <is>
          <t>Claims</t>
        </is>
      </c>
      <c r="B245" s="5" t="inlineStr">
        <is>
          <t>credit_note_amount</t>
        </is>
      </c>
      <c r="C245" s="17" t="inlineStr">
        <is>
          <t>NUMBER</t>
        </is>
      </c>
      <c r="D245" s="17" t="inlineStr">
        <is>
          <t>ไม่บังคับ</t>
        </is>
      </c>
      <c r="E245" s="18" t="inlineStr"/>
      <c r="F245" s="5" t="inlineStr"/>
      <c r="G245" s="5" t="inlineStr">
        <is>
          <t>ยอดใบลดหนี้</t>
        </is>
      </c>
      <c r="H245" s="23" t="inlineStr">
        <is>
          <t>คนกรอก</t>
        </is>
      </c>
      <c r="I245" s="19" t="inlineStr"/>
    </row>
    <row r="246">
      <c r="A246" s="5" t="inlineStr">
        <is>
          <t>Claims</t>
        </is>
      </c>
      <c r="B246" s="5" t="inlineStr">
        <is>
          <t>credit_note_received_at</t>
        </is>
      </c>
      <c r="C246" s="17" t="inlineStr">
        <is>
          <t>DATE</t>
        </is>
      </c>
      <c r="D246" s="17" t="inlineStr">
        <is>
          <t>ไม่บังคับ</t>
        </is>
      </c>
      <c r="E246" s="18" t="inlineStr"/>
      <c r="F246" s="5" t="inlineStr"/>
      <c r="G246" s="5" t="inlineStr">
        <is>
          <t>วันที่ได้รับใบลดหนี้ — ตัวปลดล็อกงวดจ่าย</t>
        </is>
      </c>
      <c r="H246" s="23" t="inlineStr">
        <is>
          <t>คนกรอก</t>
        </is>
      </c>
      <c r="I246" s="19" t="inlineStr"/>
    </row>
    <row r="247">
      <c r="A247" s="5" t="inlineStr">
        <is>
          <t>Claims</t>
        </is>
      </c>
      <c r="B247" s="5" t="inlineStr">
        <is>
          <t>blocks_payment</t>
        </is>
      </c>
      <c r="C247" s="17" t="inlineStr">
        <is>
          <t>BOOLEAN</t>
        </is>
      </c>
      <c r="D247" s="17" t="inlineStr">
        <is>
          <t>บังคับ</t>
        </is>
      </c>
      <c r="E247" s="18" t="inlineStr"/>
      <c r="F247" s="5" t="inlineStr">
        <is>
          <t>TRUE / FALSE</t>
        </is>
      </c>
      <c r="G247" s="5" t="inlineStr">
        <is>
          <t>ใบนี้ล็อกงวดจ่ายอยู่หรือไม่</t>
        </is>
      </c>
      <c r="H247" s="17" t="inlineStr">
        <is>
          <t>ระบบสร้าง/คำนวณ</t>
        </is>
      </c>
      <c r="I247" s="19" t="inlineStr"/>
    </row>
    <row r="248">
      <c r="A248" s="5" t="inlineStr">
        <is>
          <t>Claims</t>
        </is>
      </c>
      <c r="B248" s="5" t="inlineStr">
        <is>
          <t>created_by</t>
        </is>
      </c>
      <c r="C248" s="17" t="inlineStr">
        <is>
          <t>TEXT</t>
        </is>
      </c>
      <c r="D248" s="17" t="inlineStr">
        <is>
          <t>บังคับ</t>
        </is>
      </c>
      <c r="E248" s="18" t="inlineStr"/>
      <c r="F248" s="5" t="inlineStr"/>
      <c r="G248" s="5" t="inlineStr"/>
      <c r="H248" s="17" t="inlineStr">
        <is>
          <t>ระบบสร้าง/คำนวณ</t>
        </is>
      </c>
      <c r="I248" s="19" t="inlineStr"/>
    </row>
    <row r="249">
      <c r="A249" s="5" t="inlineStr">
        <is>
          <t>Claims</t>
        </is>
      </c>
      <c r="B249" s="5" t="inlineStr">
        <is>
          <t>created_at</t>
        </is>
      </c>
      <c r="C249" s="17" t="inlineStr">
        <is>
          <t>DATETIME</t>
        </is>
      </c>
      <c r="D249" s="17" t="inlineStr">
        <is>
          <t>บังคับ</t>
        </is>
      </c>
      <c r="E249" s="18" t="inlineStr"/>
      <c r="F249" s="5" t="inlineStr"/>
      <c r="G249" s="5" t="inlineStr"/>
      <c r="H249" s="17" t="inlineStr">
        <is>
          <t>ระบบสร้าง/คำนวณ</t>
        </is>
      </c>
      <c r="I249" s="19" t="inlineStr"/>
    </row>
    <row r="250">
      <c r="A250" s="5" t="inlineStr">
        <is>
          <t>Claims</t>
        </is>
      </c>
      <c r="B250" s="5" t="inlineStr">
        <is>
          <t>updated_at</t>
        </is>
      </c>
      <c r="C250" s="17" t="inlineStr">
        <is>
          <t>DATETIME</t>
        </is>
      </c>
      <c r="D250" s="17" t="inlineStr">
        <is>
          <t>บังคับ</t>
        </is>
      </c>
      <c r="E250" s="18" t="inlineStr"/>
      <c r="F250" s="5" t="inlineStr"/>
      <c r="G250" s="5" t="inlineStr"/>
      <c r="H250" s="17" t="inlineStr">
        <is>
          <t>ระบบสร้าง/คำนวณ</t>
        </is>
      </c>
      <c r="I250" s="19" t="inlineStr"/>
    </row>
    <row r="251">
      <c r="A251" s="5" t="inlineStr">
        <is>
          <t>Claims</t>
        </is>
      </c>
      <c r="B251" s="5" t="inlineStr">
        <is>
          <t>row_version</t>
        </is>
      </c>
      <c r="C251" s="17" t="inlineStr">
        <is>
          <t>NUMBER</t>
        </is>
      </c>
      <c r="D251" s="17" t="inlineStr">
        <is>
          <t>บังคับ</t>
        </is>
      </c>
      <c r="E251" s="18" t="inlineStr"/>
      <c r="F251" s="5" t="inlineStr"/>
      <c r="G251" s="5" t="inlineStr"/>
      <c r="H251" s="17" t="inlineStr">
        <is>
          <t>ระบบสร้าง/คำนวณ</t>
        </is>
      </c>
      <c r="I251" s="19" t="inlineStr"/>
    </row>
    <row r="252">
      <c r="A252" s="10" t="inlineStr">
        <is>
          <t>ItemCode_Requests</t>
        </is>
      </c>
      <c r="B252" s="5" t="inlineStr">
        <is>
          <t>request_id</t>
        </is>
      </c>
      <c r="C252" s="17" t="inlineStr">
        <is>
          <t>UUID</t>
        </is>
      </c>
      <c r="D252" s="17" t="inlineStr">
        <is>
          <t>บังคับ</t>
        </is>
      </c>
      <c r="E252" s="18" t="inlineStr">
        <is>
          <t>PK</t>
        </is>
      </c>
      <c r="F252" s="5" t="inlineStr"/>
      <c r="G252" s="5" t="inlineStr">
        <is>
          <t>คีย์ภายใน</t>
        </is>
      </c>
      <c r="H252" s="17" t="inlineStr">
        <is>
          <t>ระบบสร้าง/คำนวณ</t>
        </is>
      </c>
      <c r="I252" s="19" t="inlineStr"/>
    </row>
    <row r="253">
      <c r="A253" s="5" t="inlineStr">
        <is>
          <t>ItemCode_Requests</t>
        </is>
      </c>
      <c r="B253" s="5" t="inlineStr">
        <is>
          <t>request_no</t>
        </is>
      </c>
      <c r="C253" s="17" t="inlineStr">
        <is>
          <t>TEXT</t>
        </is>
      </c>
      <c r="D253" s="17" t="inlineStr">
        <is>
          <t>บังคับ</t>
        </is>
      </c>
      <c r="E253" s="18" t="inlineStr">
        <is>
          <t>UQ</t>
        </is>
      </c>
      <c r="F253" s="5" t="inlineStr">
        <is>
          <t>IC-26-0007</t>
        </is>
      </c>
      <c r="G253" s="5" t="inlineStr">
        <is>
          <t>เลขที่ใบขอ</t>
        </is>
      </c>
      <c r="H253" s="17" t="inlineStr">
        <is>
          <t>ระบบสร้าง/คำนวณ</t>
        </is>
      </c>
      <c r="I253" s="19" t="inlineStr"/>
    </row>
    <row r="254">
      <c r="A254" s="5" t="inlineStr">
        <is>
          <t>ItemCode_Requests</t>
        </is>
      </c>
      <c r="B254" s="5" t="inlineStr">
        <is>
          <t>po_no</t>
        </is>
      </c>
      <c r="C254" s="17" t="inlineStr">
        <is>
          <t>TEXT</t>
        </is>
      </c>
      <c r="D254" s="17" t="inlineStr">
        <is>
          <t>ไม่บังคับ</t>
        </is>
      </c>
      <c r="E254" s="18" t="inlineStr">
        <is>
          <t>FK</t>
        </is>
      </c>
      <c r="F254" s="5" t="inlineStr">
        <is>
          <t>Purchase_Orders.po_no</t>
        </is>
      </c>
      <c r="G254" s="5" t="inlineStr">
        <is>
          <t>PO ที่รออยู่ (ว่างได้)</t>
        </is>
      </c>
      <c r="H254" s="17" t="inlineStr">
        <is>
          <t>ระบบสร้าง/คำนวณ</t>
        </is>
      </c>
      <c r="I254" s="19" t="inlineStr"/>
    </row>
    <row r="255">
      <c r="A255" s="5" t="inlineStr">
        <is>
          <t>ItemCode_Requests</t>
        </is>
      </c>
      <c r="B255" s="5" t="inlineStr">
        <is>
          <t>item_name</t>
        </is>
      </c>
      <c r="C255" s="17" t="inlineStr">
        <is>
          <t>TEXT</t>
        </is>
      </c>
      <c r="D255" s="17" t="inlineStr">
        <is>
          <t>บังคับ</t>
        </is>
      </c>
      <c r="E255" s="18" t="inlineStr"/>
      <c r="F255" s="5" t="inlineStr"/>
      <c r="G255" s="5" t="inlineStr">
        <is>
          <t>ชื่อสินค้า</t>
        </is>
      </c>
      <c r="H255" s="23" t="inlineStr">
        <is>
          <t>คนกรอก</t>
        </is>
      </c>
      <c r="I255" s="19" t="inlineStr"/>
    </row>
    <row r="256">
      <c r="A256" s="5" t="inlineStr">
        <is>
          <t>ItemCode_Requests</t>
        </is>
      </c>
      <c r="B256" s="5" t="inlineStr">
        <is>
          <t>brand</t>
        </is>
      </c>
      <c r="C256" s="17" t="inlineStr">
        <is>
          <t>TEXT</t>
        </is>
      </c>
      <c r="D256" s="17" t="inlineStr">
        <is>
          <t>ไม่บังคับ</t>
        </is>
      </c>
      <c r="E256" s="18" t="inlineStr"/>
      <c r="F256" s="5" t="inlineStr"/>
      <c r="G256" s="5" t="inlineStr">
        <is>
          <t>แบรนด์</t>
        </is>
      </c>
      <c r="H256" s="23" t="inlineStr">
        <is>
          <t>คนกรอก</t>
        </is>
      </c>
      <c r="I256" s="19" t="inlineStr"/>
    </row>
    <row r="257">
      <c r="A257" s="5" t="inlineStr">
        <is>
          <t>ItemCode_Requests</t>
        </is>
      </c>
      <c r="B257" s="5" t="inlineStr">
        <is>
          <t>product_group</t>
        </is>
      </c>
      <c r="C257" s="17" t="inlineStr">
        <is>
          <t>TEXT</t>
        </is>
      </c>
      <c r="D257" s="17" t="inlineStr">
        <is>
          <t>ไม่บังคับ</t>
        </is>
      </c>
      <c r="E257" s="18" t="inlineStr"/>
      <c r="F257" s="5" t="inlineStr"/>
      <c r="G257" s="5" t="inlineStr">
        <is>
          <t>กลุ่มสินค้า</t>
        </is>
      </c>
      <c r="H257" s="23" t="inlineStr">
        <is>
          <t>คนกรอก</t>
        </is>
      </c>
      <c r="I257" s="19" t="inlineStr"/>
    </row>
    <row r="258">
      <c r="A258" s="5" t="inlineStr">
        <is>
          <t>ItemCode_Requests</t>
        </is>
      </c>
      <c r="B258" s="5" t="inlineStr">
        <is>
          <t>uom</t>
        </is>
      </c>
      <c r="C258" s="17" t="inlineStr">
        <is>
          <t>TEXT</t>
        </is>
      </c>
      <c r="D258" s="17" t="inlineStr">
        <is>
          <t>บังคับ</t>
        </is>
      </c>
      <c r="E258" s="18" t="inlineStr"/>
      <c r="F258" s="5" t="inlineStr">
        <is>
          <t>KG</t>
        </is>
      </c>
      <c r="G258" s="5" t="inlineStr">
        <is>
          <t>หน่วยนับ</t>
        </is>
      </c>
      <c r="H258" s="23" t="inlineStr">
        <is>
          <t>คนกรอก</t>
        </is>
      </c>
      <c r="I258" s="19" t="inlineStr"/>
    </row>
    <row r="259">
      <c r="A259" s="5" t="inlineStr">
        <is>
          <t>ItemCode_Requests</t>
        </is>
      </c>
      <c r="B259" s="5" t="inlineStr">
        <is>
          <t>packing</t>
        </is>
      </c>
      <c r="C259" s="17" t="inlineStr">
        <is>
          <t>TEXT</t>
        </is>
      </c>
      <c r="D259" s="17" t="inlineStr">
        <is>
          <t>ไม่บังคับ</t>
        </is>
      </c>
      <c r="E259" s="18" t="inlineStr"/>
      <c r="F259" s="5" t="inlineStr">
        <is>
          <t>10 KG x 1 CTN</t>
        </is>
      </c>
      <c r="G259" s="5" t="inlineStr">
        <is>
          <t>ขนาดบรรจุ</t>
        </is>
      </c>
      <c r="H259" s="23" t="inlineStr">
        <is>
          <t>คนกรอก</t>
        </is>
      </c>
      <c r="I259" s="19" t="inlineStr"/>
    </row>
    <row r="260">
      <c r="A260" s="5" t="inlineStr">
        <is>
          <t>ItemCode_Requests</t>
        </is>
      </c>
      <c r="B260" s="5" t="inlineStr">
        <is>
          <t>supplier_code</t>
        </is>
      </c>
      <c r="C260" s="17" t="inlineStr">
        <is>
          <t>TEXT</t>
        </is>
      </c>
      <c r="D260" s="17" t="inlineStr">
        <is>
          <t>ไม่บังคับ</t>
        </is>
      </c>
      <c r="E260" s="18" t="inlineStr">
        <is>
          <t>FK</t>
        </is>
      </c>
      <c r="F260" s="5" t="inlineStr">
        <is>
          <t>Suppliers.supplier_code</t>
        </is>
      </c>
      <c r="G260" s="5" t="inlineStr">
        <is>
          <t>ผู้ขาย</t>
        </is>
      </c>
      <c r="H260" s="23" t="inlineStr">
        <is>
          <t>คนกรอก</t>
        </is>
      </c>
      <c r="I260" s="19" t="inlineStr"/>
    </row>
    <row r="261">
      <c r="A261" s="5" t="inlineStr">
        <is>
          <t>ItemCode_Requests</t>
        </is>
      </c>
      <c r="B261" s="5" t="inlineStr">
        <is>
          <t>hs_code</t>
        </is>
      </c>
      <c r="C261" s="17" t="inlineStr">
        <is>
          <t>TEXT</t>
        </is>
      </c>
      <c r="D261" s="17" t="inlineStr">
        <is>
          <t>ไม่บังคับ</t>
        </is>
      </c>
      <c r="E261" s="18" t="inlineStr"/>
      <c r="F261" s="5" t="inlineStr">
        <is>
          <t>0307.43.00</t>
        </is>
      </c>
      <c r="G261" s="5" t="inlineStr">
        <is>
          <t>พิกัดศุลกากร</t>
        </is>
      </c>
      <c r="H261" s="23" t="inlineStr">
        <is>
          <t>คนกรอก</t>
        </is>
      </c>
      <c r="I261" s="19" t="inlineStr"/>
    </row>
    <row r="262">
      <c r="A262" s="5" t="inlineStr">
        <is>
          <t>ItemCode_Requests</t>
        </is>
      </c>
      <c r="B262" s="5" t="inlineStr">
        <is>
          <t>storage_condition</t>
        </is>
      </c>
      <c r="C262" s="17" t="inlineStr">
        <is>
          <t>TEXT</t>
        </is>
      </c>
      <c r="D262" s="17" t="inlineStr">
        <is>
          <t>ไม่บังคับ</t>
        </is>
      </c>
      <c r="E262" s="18" t="inlineStr"/>
      <c r="F262" s="5" t="inlineStr">
        <is>
          <t>แช่แข็ง</t>
        </is>
      </c>
      <c r="G262" s="5" t="inlineStr">
        <is>
          <t>การเก็บรักษา</t>
        </is>
      </c>
      <c r="H262" s="23" t="inlineStr">
        <is>
          <t>คนกรอก</t>
        </is>
      </c>
      <c r="I262" s="19" t="inlineStr"/>
    </row>
    <row r="263">
      <c r="A263" s="5" t="inlineStr">
        <is>
          <t>ItemCode_Requests</t>
        </is>
      </c>
      <c r="B263" s="5" t="inlineStr">
        <is>
          <t>shelf_life_days</t>
        </is>
      </c>
      <c r="C263" s="17" t="inlineStr">
        <is>
          <t>NUMBER</t>
        </is>
      </c>
      <c r="D263" s="17" t="inlineStr">
        <is>
          <t>ไม่บังคับ</t>
        </is>
      </c>
      <c r="E263" s="18" t="inlineStr"/>
      <c r="F263" s="5" t="inlineStr">
        <is>
          <t>730</t>
        </is>
      </c>
      <c r="G263" s="5" t="inlineStr">
        <is>
          <t>อายุสินค้า (วัน)</t>
        </is>
      </c>
      <c r="H263" s="23" t="inlineStr">
        <is>
          <t>คนกรอก</t>
        </is>
      </c>
      <c r="I263" s="19" t="inlineStr"/>
    </row>
    <row r="264">
      <c r="A264" s="5" t="inlineStr">
        <is>
          <t>ItemCode_Requests</t>
        </is>
      </c>
      <c r="B264" s="5" t="inlineStr">
        <is>
          <t>reason</t>
        </is>
      </c>
      <c r="C264" s="17" t="inlineStr">
        <is>
          <t>TEXT</t>
        </is>
      </c>
      <c r="D264" s="17" t="inlineStr">
        <is>
          <t>ไม่บังคับ</t>
        </is>
      </c>
      <c r="E264" s="18" t="inlineStr"/>
      <c r="F264" s="5" t="inlineStr"/>
      <c r="G264" s="5" t="inlineStr">
        <is>
          <t>เหตุผลที่ขอเปิดรหัส</t>
        </is>
      </c>
      <c r="H264" s="23" t="inlineStr">
        <is>
          <t>คนกรอก</t>
        </is>
      </c>
      <c r="I264" s="19" t="inlineStr"/>
    </row>
    <row r="265">
      <c r="A265" s="5" t="inlineStr">
        <is>
          <t>ItemCode_Requests</t>
        </is>
      </c>
      <c r="B265" s="5" t="inlineStr">
        <is>
          <t>status</t>
        </is>
      </c>
      <c r="C265" s="17" t="inlineStr">
        <is>
          <t>ENUM</t>
        </is>
      </c>
      <c r="D265" s="17" t="inlineStr">
        <is>
          <t>บังคับ</t>
        </is>
      </c>
      <c r="E265" s="18" t="inlineStr"/>
      <c r="F265" s="5" t="inlineStr">
        <is>
          <t>DRAFT / WAIT_APPROVE / WAIT_LS / DONE / REJECTED</t>
        </is>
      </c>
      <c r="G265" s="5" t="inlineStr">
        <is>
          <t>สถานะใบขอ</t>
        </is>
      </c>
      <c r="H265" s="17" t="inlineStr">
        <is>
          <t>ระบบสร้าง/คำนวณ</t>
        </is>
      </c>
      <c r="I265" s="19" t="inlineStr"/>
    </row>
    <row r="266">
      <c r="A266" s="5" t="inlineStr">
        <is>
          <t>ItemCode_Requests</t>
        </is>
      </c>
      <c r="B266" s="5" t="inlineStr">
        <is>
          <t>approved_by</t>
        </is>
      </c>
      <c r="C266" s="17" t="inlineStr">
        <is>
          <t>TEXT</t>
        </is>
      </c>
      <c r="D266" s="17" t="inlineStr">
        <is>
          <t>ไม่บังคับ</t>
        </is>
      </c>
      <c r="E266" s="18" t="inlineStr">
        <is>
          <t>FK</t>
        </is>
      </c>
      <c r="F266" s="5" t="inlineStr">
        <is>
          <t>Users.email</t>
        </is>
      </c>
      <c r="G266" s="5" t="inlineStr">
        <is>
          <t>หัวหน้าที่อนุมัติ</t>
        </is>
      </c>
      <c r="H266" s="17" t="inlineStr">
        <is>
          <t>ระบบสร้าง/คำนวณ</t>
        </is>
      </c>
      <c r="I266" s="19" t="inlineStr"/>
    </row>
    <row r="267">
      <c r="A267" s="5" t="inlineStr">
        <is>
          <t>ItemCode_Requests</t>
        </is>
      </c>
      <c r="B267" s="5" t="inlineStr">
        <is>
          <t>approved_at</t>
        </is>
      </c>
      <c r="C267" s="17" t="inlineStr">
        <is>
          <t>DATETIME</t>
        </is>
      </c>
      <c r="D267" s="17" t="inlineStr">
        <is>
          <t>ไม่บังคับ</t>
        </is>
      </c>
      <c r="E267" s="18" t="inlineStr"/>
      <c r="F267" s="5" t="inlineStr"/>
      <c r="G267" s="5" t="inlineStr">
        <is>
          <t>เวลาอนุมัติ</t>
        </is>
      </c>
      <c r="H267" s="17" t="inlineStr">
        <is>
          <t>ระบบสร้าง/คำนวณ</t>
        </is>
      </c>
      <c r="I267" s="19" t="inlineStr"/>
    </row>
    <row r="268">
      <c r="A268" s="5" t="inlineStr">
        <is>
          <t>ItemCode_Requests</t>
        </is>
      </c>
      <c r="B268" s="5" t="inlineStr">
        <is>
          <t>sap_item_code</t>
        </is>
      </c>
      <c r="C268" s="17" t="inlineStr">
        <is>
          <t>TEXT</t>
        </is>
      </c>
      <c r="D268" s="17" t="inlineStr">
        <is>
          <t>ไม่บังคับ</t>
        </is>
      </c>
      <c r="E268" s="18" t="inlineStr">
        <is>
          <t>FK</t>
        </is>
      </c>
      <c r="F268" s="5" t="inlineStr">
        <is>
          <t>OITM.ItemCode</t>
        </is>
      </c>
      <c r="G268" s="5" t="inlineStr">
        <is>
          <t>รหัสจริงจาก B1 — PO เดินต่อไม่ได้จนกว่าจะมีค่านี้</t>
        </is>
      </c>
      <c r="H268" s="17" t="inlineStr">
        <is>
          <t>ดึงจาก B1</t>
        </is>
      </c>
      <c r="I268" s="19" t="inlineStr"/>
    </row>
    <row r="269">
      <c r="A269" s="5" t="inlineStr">
        <is>
          <t>ItemCode_Requests</t>
        </is>
      </c>
      <c r="B269" s="5" t="inlineStr">
        <is>
          <t>sap_created_by</t>
        </is>
      </c>
      <c r="C269" s="17" t="inlineStr">
        <is>
          <t>TEXT</t>
        </is>
      </c>
      <c r="D269" s="17" t="inlineStr">
        <is>
          <t>ไม่บังคับ</t>
        </is>
      </c>
      <c r="E269" s="18" t="inlineStr"/>
      <c r="F269" s="5" t="inlineStr"/>
      <c r="G269" s="5" t="inlineStr">
        <is>
          <t>LS ผู้เปิดรหัสใน B1</t>
        </is>
      </c>
      <c r="H269" s="17" t="inlineStr">
        <is>
          <t>ระบบสร้าง/คำนวณ</t>
        </is>
      </c>
      <c r="I269" s="19" t="inlineStr"/>
    </row>
    <row r="270">
      <c r="A270" s="5" t="inlineStr">
        <is>
          <t>ItemCode_Requests</t>
        </is>
      </c>
      <c r="B270" s="5" t="inlineStr">
        <is>
          <t>sap_created_at</t>
        </is>
      </c>
      <c r="C270" s="17" t="inlineStr">
        <is>
          <t>DATETIME</t>
        </is>
      </c>
      <c r="D270" s="17" t="inlineStr">
        <is>
          <t>ไม่บังคับ</t>
        </is>
      </c>
      <c r="E270" s="18" t="inlineStr"/>
      <c r="F270" s="5" t="inlineStr"/>
      <c r="G270" s="5" t="inlineStr">
        <is>
          <t>เวลาที่เปิดรหัสใน B1</t>
        </is>
      </c>
      <c r="H270" s="17" t="inlineStr">
        <is>
          <t>ระบบสร้าง/คำนวณ</t>
        </is>
      </c>
      <c r="I270" s="19" t="inlineStr"/>
    </row>
    <row r="271">
      <c r="A271" s="5" t="inlineStr">
        <is>
          <t>ItemCode_Requests</t>
        </is>
      </c>
      <c r="B271" s="5" t="inlineStr">
        <is>
          <t>created_by</t>
        </is>
      </c>
      <c r="C271" s="17" t="inlineStr">
        <is>
          <t>TEXT</t>
        </is>
      </c>
      <c r="D271" s="17" t="inlineStr">
        <is>
          <t>บังคับ</t>
        </is>
      </c>
      <c r="E271" s="18" t="inlineStr"/>
      <c r="F271" s="5" t="inlineStr"/>
      <c r="G271" s="5" t="inlineStr"/>
      <c r="H271" s="17" t="inlineStr">
        <is>
          <t>ระบบสร้าง/คำนวณ</t>
        </is>
      </c>
      <c r="I271" s="19" t="inlineStr"/>
    </row>
    <row r="272">
      <c r="A272" s="5" t="inlineStr">
        <is>
          <t>ItemCode_Requests</t>
        </is>
      </c>
      <c r="B272" s="5" t="inlineStr">
        <is>
          <t>created_at</t>
        </is>
      </c>
      <c r="C272" s="17" t="inlineStr">
        <is>
          <t>DATETIME</t>
        </is>
      </c>
      <c r="D272" s="17" t="inlineStr">
        <is>
          <t>บังคับ</t>
        </is>
      </c>
      <c r="E272" s="18" t="inlineStr"/>
      <c r="F272" s="5" t="inlineStr"/>
      <c r="G272" s="5" t="inlineStr"/>
      <c r="H272" s="17" t="inlineStr">
        <is>
          <t>ระบบสร้าง/คำนวณ</t>
        </is>
      </c>
      <c r="I272" s="19" t="inlineStr"/>
    </row>
    <row r="273">
      <c r="A273" s="7" t="inlineStr">
        <is>
          <t>Price_Requests</t>
        </is>
      </c>
      <c r="B273" s="21" t="inlineStr">
        <is>
          <t>request_id</t>
        </is>
      </c>
      <c r="C273" s="20" t="inlineStr">
        <is>
          <t>UUID</t>
        </is>
      </c>
      <c r="D273" s="20" t="inlineStr">
        <is>
          <t>บังคับ</t>
        </is>
      </c>
      <c r="E273" s="18" t="inlineStr">
        <is>
          <t>PK</t>
        </is>
      </c>
      <c r="F273" s="21" t="inlineStr"/>
      <c r="G273" s="21" t="inlineStr">
        <is>
          <t>คีย์ภายใน</t>
        </is>
      </c>
      <c r="H273" s="20" t="inlineStr">
        <is>
          <t>ระบบสร้าง/คำนวณ</t>
        </is>
      </c>
      <c r="I273" s="19" t="inlineStr"/>
    </row>
    <row r="274">
      <c r="A274" s="21" t="inlineStr">
        <is>
          <t>Price_Requests</t>
        </is>
      </c>
      <c r="B274" s="21" t="inlineStr">
        <is>
          <t>request_no</t>
        </is>
      </c>
      <c r="C274" s="20" t="inlineStr">
        <is>
          <t>TEXT</t>
        </is>
      </c>
      <c r="D274" s="20" t="inlineStr">
        <is>
          <t>บังคับ</t>
        </is>
      </c>
      <c r="E274" s="18" t="inlineStr">
        <is>
          <t>UQ</t>
        </is>
      </c>
      <c r="F274" s="21" t="inlineStr">
        <is>
          <t>PR-26-0004</t>
        </is>
      </c>
      <c r="G274" s="21" t="inlineStr">
        <is>
          <t>เลขที่ใบขอราคา</t>
        </is>
      </c>
      <c r="H274" s="20" t="inlineStr">
        <is>
          <t>ระบบสร้าง/คำนวณ</t>
        </is>
      </c>
      <c r="I274" s="19" t="inlineStr"/>
    </row>
    <row r="275">
      <c r="A275" s="21" t="inlineStr">
        <is>
          <t>Price_Requests</t>
        </is>
      </c>
      <c r="B275" s="21" t="inlineStr">
        <is>
          <t>item_name</t>
        </is>
      </c>
      <c r="C275" s="20" t="inlineStr">
        <is>
          <t>TEXT</t>
        </is>
      </c>
      <c r="D275" s="20" t="inlineStr">
        <is>
          <t>บังคับ</t>
        </is>
      </c>
      <c r="E275" s="18" t="inlineStr"/>
      <c r="F275" s="21" t="inlineStr">
        <is>
          <t>ปลาแซลมอนแล่ เกรด A</t>
        </is>
      </c>
      <c r="G275" s="21" t="inlineStr">
        <is>
          <t>ชื่อสินค้า — กรอกที่นี่ครั้งเดียว ใบเสนอราคาและ PO ดึงต่อ</t>
        </is>
      </c>
      <c r="H275" s="23" t="inlineStr">
        <is>
          <t>คนกรอก</t>
        </is>
      </c>
      <c r="I275" s="19" t="inlineStr"/>
    </row>
    <row r="276">
      <c r="A276" s="21" t="inlineStr">
        <is>
          <t>Price_Requests</t>
        </is>
      </c>
      <c r="B276" s="21" t="inlineStr">
        <is>
          <t>spec</t>
        </is>
      </c>
      <c r="C276" s="20" t="inlineStr">
        <is>
          <t>TEXT</t>
        </is>
      </c>
      <c r="D276" s="20" t="inlineStr">
        <is>
          <t>ไม่บังคับ</t>
        </is>
      </c>
      <c r="E276" s="18" t="inlineStr"/>
      <c r="F276" s="21" t="inlineStr">
        <is>
          <t>แล่ไม่มีหนัง ไม่มีก้าง แช่แข็ง -18°C</t>
        </is>
      </c>
      <c r="G276" s="21" t="inlineStr">
        <is>
          <t>สเปกที่ใช้ขอราคา</t>
        </is>
      </c>
      <c r="H276" s="23" t="inlineStr">
        <is>
          <t>คนกรอก</t>
        </is>
      </c>
      <c r="I276" s="19" t="inlineStr"/>
    </row>
    <row r="277">
      <c r="A277" s="21" t="inlineStr">
        <is>
          <t>Price_Requests</t>
        </is>
      </c>
      <c r="B277" s="21" t="inlineStr">
        <is>
          <t>qty</t>
        </is>
      </c>
      <c r="C277" s="20" t="inlineStr">
        <is>
          <t>NUMBER</t>
        </is>
      </c>
      <c r="D277" s="20" t="inlineStr">
        <is>
          <t>บังคับ</t>
        </is>
      </c>
      <c r="E277" s="18" t="inlineStr"/>
      <c r="F277" s="21" t="inlineStr">
        <is>
          <t>200</t>
        </is>
      </c>
      <c r="G277" s="21" t="inlineStr">
        <is>
          <t>จำนวนที่ต้องการ</t>
        </is>
      </c>
      <c r="H277" s="23" t="inlineStr">
        <is>
          <t>คนกรอก</t>
        </is>
      </c>
      <c r="I277" s="19" t="inlineStr"/>
    </row>
    <row r="278">
      <c r="A278" s="21" t="inlineStr">
        <is>
          <t>Price_Requests</t>
        </is>
      </c>
      <c r="B278" s="21" t="inlineStr">
        <is>
          <t>uom</t>
        </is>
      </c>
      <c r="C278" s="20" t="inlineStr">
        <is>
          <t>TEXT</t>
        </is>
      </c>
      <c r="D278" s="20" t="inlineStr">
        <is>
          <t>บังคับ</t>
        </is>
      </c>
      <c r="E278" s="18" t="inlineStr"/>
      <c r="F278" s="21" t="inlineStr">
        <is>
          <t>KG</t>
        </is>
      </c>
      <c r="G278" s="21" t="inlineStr">
        <is>
          <t>หน่วยนับ</t>
        </is>
      </c>
      <c r="H278" s="23" t="inlineStr">
        <is>
          <t>คนกรอก</t>
        </is>
      </c>
      <c r="I278" s="19" t="inlineStr"/>
    </row>
    <row r="279">
      <c r="A279" s="21" t="inlineStr">
        <is>
          <t>Price_Requests</t>
        </is>
      </c>
      <c r="B279" s="21" t="inlineStr">
        <is>
          <t>product_group</t>
        </is>
      </c>
      <c r="C279" s="20" t="inlineStr">
        <is>
          <t>TEXT</t>
        </is>
      </c>
      <c r="D279" s="20" t="inlineStr">
        <is>
          <t>ไม่บังคับ</t>
        </is>
      </c>
      <c r="E279" s="18" t="inlineStr"/>
      <c r="F279" s="21" t="inlineStr">
        <is>
          <t>Food</t>
        </is>
      </c>
      <c r="G279" s="21" t="inlineStr">
        <is>
          <t>กลุ่มสินค้า</t>
        </is>
      </c>
      <c r="H279" s="23" t="inlineStr">
        <is>
          <t>คนกรอก</t>
        </is>
      </c>
      <c r="I279" s="19" t="inlineStr"/>
    </row>
    <row r="280">
      <c r="A280" s="21" t="inlineStr">
        <is>
          <t>Price_Requests</t>
        </is>
      </c>
      <c r="B280" s="21" t="inlineStr">
        <is>
          <t>need_by_date</t>
        </is>
      </c>
      <c r="C280" s="20" t="inlineStr">
        <is>
          <t>DATE</t>
        </is>
      </c>
      <c r="D280" s="20" t="inlineStr">
        <is>
          <t>ไม่บังคับ</t>
        </is>
      </c>
      <c r="E280" s="18" t="inlineStr"/>
      <c r="F280" s="21" t="inlineStr"/>
      <c r="G280" s="21" t="inlineStr">
        <is>
          <t>ต้องการภายในวันไหน</t>
        </is>
      </c>
      <c r="H280" s="23" t="inlineStr">
        <is>
          <t>คนกรอก</t>
        </is>
      </c>
      <c r="I280" s="19" t="inlineStr"/>
    </row>
    <row r="281">
      <c r="A281" s="21" t="inlineStr">
        <is>
          <t>Price_Requests</t>
        </is>
      </c>
      <c r="B281" s="21" t="inlineStr">
        <is>
          <t>status</t>
        </is>
      </c>
      <c r="C281" s="20" t="inlineStr">
        <is>
          <t>ENUM</t>
        </is>
      </c>
      <c r="D281" s="20" t="inlineStr">
        <is>
          <t>บังคับ</t>
        </is>
      </c>
      <c r="E281" s="18" t="inlineStr"/>
      <c r="F281" s="21" t="inlineStr">
        <is>
          <t>NEW / QUOTING / CONVERTED / CANCELLED</t>
        </is>
      </c>
      <c r="G281" s="21" t="inlineStr">
        <is>
          <t>สถานะใบขอราคา</t>
        </is>
      </c>
      <c r="H281" s="20" t="inlineStr">
        <is>
          <t>ระบบสร้าง/คำนวณ</t>
        </is>
      </c>
      <c r="I281" s="19" t="inlineStr"/>
    </row>
    <row r="282">
      <c r="A282" s="21" t="inlineStr">
        <is>
          <t>Price_Requests</t>
        </is>
      </c>
      <c r="B282" s="21" t="inlineStr">
        <is>
          <t>requested_by</t>
        </is>
      </c>
      <c r="C282" s="20" t="inlineStr">
        <is>
          <t>TEXT</t>
        </is>
      </c>
      <c r="D282" s="20" t="inlineStr">
        <is>
          <t>บังคับ</t>
        </is>
      </c>
      <c r="E282" s="18" t="inlineStr">
        <is>
          <t>FK</t>
        </is>
      </c>
      <c r="F282" s="21" t="inlineStr">
        <is>
          <t>Users.email</t>
        </is>
      </c>
      <c r="G282" s="21" t="inlineStr">
        <is>
          <t>ผู้ขอ</t>
        </is>
      </c>
      <c r="H282" s="20" t="inlineStr">
        <is>
          <t>ระบบสร้าง/คำนวณ</t>
        </is>
      </c>
      <c r="I282" s="19" t="inlineStr"/>
    </row>
    <row r="283">
      <c r="A283" s="21" t="inlineStr">
        <is>
          <t>Price_Requests</t>
        </is>
      </c>
      <c r="B283" s="21" t="inlineStr">
        <is>
          <t>note</t>
        </is>
      </c>
      <c r="C283" s="20" t="inlineStr">
        <is>
          <t>TEXT</t>
        </is>
      </c>
      <c r="D283" s="20" t="inlineStr">
        <is>
          <t>ไม่บังคับ</t>
        </is>
      </c>
      <c r="E283" s="18" t="inlineStr"/>
      <c r="F283" s="21" t="inlineStr"/>
      <c r="G283" s="21" t="inlineStr">
        <is>
          <t>หมายเหตุ</t>
        </is>
      </c>
      <c r="H283" s="23" t="inlineStr">
        <is>
          <t>คนกรอก</t>
        </is>
      </c>
      <c r="I283" s="19" t="inlineStr"/>
    </row>
    <row r="284">
      <c r="A284" s="21" t="inlineStr">
        <is>
          <t>Price_Requests</t>
        </is>
      </c>
      <c r="B284" s="21" t="inlineStr">
        <is>
          <t>created_at</t>
        </is>
      </c>
      <c r="C284" s="20" t="inlineStr">
        <is>
          <t>DATETIME</t>
        </is>
      </c>
      <c r="D284" s="20" t="inlineStr">
        <is>
          <t>บังคับ</t>
        </is>
      </c>
      <c r="E284" s="18" t="inlineStr"/>
      <c r="F284" s="21" t="inlineStr"/>
      <c r="G284" s="21" t="inlineStr"/>
      <c r="H284" s="20" t="inlineStr">
        <is>
          <t>ระบบสร้าง/คำนวณ</t>
        </is>
      </c>
      <c r="I284" s="19" t="inlineStr"/>
    </row>
    <row r="285">
      <c r="A285" s="21" t="inlineStr">
        <is>
          <t>Price_Requests</t>
        </is>
      </c>
      <c r="B285" s="21" t="inlineStr">
        <is>
          <t>updated_at</t>
        </is>
      </c>
      <c r="C285" s="20" t="inlineStr">
        <is>
          <t>DATETIME</t>
        </is>
      </c>
      <c r="D285" s="20" t="inlineStr">
        <is>
          <t>บังคับ</t>
        </is>
      </c>
      <c r="E285" s="18" t="inlineStr"/>
      <c r="F285" s="21" t="inlineStr"/>
      <c r="G285" s="21" t="inlineStr"/>
      <c r="H285" s="20" t="inlineStr">
        <is>
          <t>ระบบสร้าง/คำนวณ</t>
        </is>
      </c>
      <c r="I285" s="19" t="inlineStr"/>
    </row>
    <row r="286">
      <c r="A286" s="7" t="inlineStr">
        <is>
          <t>Quotations</t>
        </is>
      </c>
      <c r="B286" s="21" t="inlineStr">
        <is>
          <t>quote_id</t>
        </is>
      </c>
      <c r="C286" s="20" t="inlineStr">
        <is>
          <t>UUID</t>
        </is>
      </c>
      <c r="D286" s="20" t="inlineStr">
        <is>
          <t>บังคับ</t>
        </is>
      </c>
      <c r="E286" s="18" t="inlineStr">
        <is>
          <t>PK</t>
        </is>
      </c>
      <c r="F286" s="21" t="inlineStr"/>
      <c r="G286" s="21" t="inlineStr">
        <is>
          <t>คีย์ภายใน</t>
        </is>
      </c>
      <c r="H286" s="20" t="inlineStr">
        <is>
          <t>ระบบสร้าง/คำนวณ</t>
        </is>
      </c>
      <c r="I286" s="19" t="inlineStr"/>
    </row>
    <row r="287">
      <c r="A287" s="21" t="inlineStr">
        <is>
          <t>Quotations</t>
        </is>
      </c>
      <c r="B287" s="21" t="inlineStr">
        <is>
          <t>quote_no</t>
        </is>
      </c>
      <c r="C287" s="20" t="inlineStr">
        <is>
          <t>TEXT</t>
        </is>
      </c>
      <c r="D287" s="20" t="inlineStr">
        <is>
          <t>บังคับ</t>
        </is>
      </c>
      <c r="E287" s="18" t="inlineStr">
        <is>
          <t>UQ</t>
        </is>
      </c>
      <c r="F287" s="21" t="inlineStr">
        <is>
          <t>QT-26-0009</t>
        </is>
      </c>
      <c r="G287" s="21" t="inlineStr">
        <is>
          <t>เลขที่ใบเสนอราคา</t>
        </is>
      </c>
      <c r="H287" s="20" t="inlineStr">
        <is>
          <t>ระบบสร้าง/คำนวณ</t>
        </is>
      </c>
      <c r="I287" s="19" t="inlineStr"/>
    </row>
    <row r="288">
      <c r="A288" s="21" t="inlineStr">
        <is>
          <t>Quotations</t>
        </is>
      </c>
      <c r="B288" s="21" t="inlineStr">
        <is>
          <t>price_request_id</t>
        </is>
      </c>
      <c r="C288" s="20" t="inlineStr">
        <is>
          <t>UUID</t>
        </is>
      </c>
      <c r="D288" s="20" t="inlineStr">
        <is>
          <t>บังคับ</t>
        </is>
      </c>
      <c r="E288" s="18" t="inlineStr">
        <is>
          <t>FK</t>
        </is>
      </c>
      <c r="F288" s="21" t="inlineStr">
        <is>
          <t>Price_Requests.request_id</t>
        </is>
      </c>
      <c r="G288" s="21" t="inlineStr">
        <is>
          <t>ใบขอราคาต้นทาง</t>
        </is>
      </c>
      <c r="H288" s="20" t="inlineStr">
        <is>
          <t>ระบบสร้าง/คำนวณ</t>
        </is>
      </c>
      <c r="I288" s="19" t="inlineStr"/>
    </row>
    <row r="289">
      <c r="A289" s="21" t="inlineStr">
        <is>
          <t>Quotations</t>
        </is>
      </c>
      <c r="B289" s="21" t="inlineStr">
        <is>
          <t>supplier</t>
        </is>
      </c>
      <c r="C289" s="20" t="inlineStr">
        <is>
          <t>TEXT</t>
        </is>
      </c>
      <c r="D289" s="20" t="inlineStr">
        <is>
          <t>บังคับ</t>
        </is>
      </c>
      <c r="E289" s="18" t="inlineStr"/>
      <c r="F289" s="21" t="inlineStr">
        <is>
          <t>Ocean Best</t>
        </is>
      </c>
      <c r="G289" s="21" t="inlineStr">
        <is>
          <t>ผู้ขายที่เสนอราคา</t>
        </is>
      </c>
      <c r="H289" s="23" t="inlineStr">
        <is>
          <t>คนกรอก</t>
        </is>
      </c>
      <c r="I289" s="19" t="inlineStr"/>
    </row>
    <row r="290">
      <c r="A290" s="21" t="inlineStr">
        <is>
          <t>Quotations</t>
        </is>
      </c>
      <c r="B290" s="21" t="inlineStr">
        <is>
          <t>supplier_code</t>
        </is>
      </c>
      <c r="C290" s="20" t="inlineStr">
        <is>
          <t>TEXT</t>
        </is>
      </c>
      <c r="D290" s="20" t="inlineStr">
        <is>
          <t>ไม่บังคับ</t>
        </is>
      </c>
      <c r="E290" s="18" t="inlineStr">
        <is>
          <t>FK</t>
        </is>
      </c>
      <c r="F290" s="21" t="inlineStr">
        <is>
          <t>OCRD.CardCode</t>
        </is>
      </c>
      <c r="G290" s="21" t="inlineStr">
        <is>
          <t>รหัสผู้ขายใน B1 ถ้ามี</t>
        </is>
      </c>
      <c r="H290" s="20" t="inlineStr">
        <is>
          <t>ดึงจาก B1</t>
        </is>
      </c>
      <c r="I290" s="19" t="inlineStr"/>
    </row>
    <row r="291">
      <c r="A291" s="21" t="inlineStr">
        <is>
          <t>Quotations</t>
        </is>
      </c>
      <c r="B291" s="21" t="inlineStr">
        <is>
          <t>unit_price</t>
        </is>
      </c>
      <c r="C291" s="20" t="inlineStr">
        <is>
          <t>NUMBER</t>
        </is>
      </c>
      <c r="D291" s="20" t="inlineStr">
        <is>
          <t>บังคับ</t>
        </is>
      </c>
      <c r="E291" s="18" t="inlineStr"/>
      <c r="F291" s="21" t="inlineStr">
        <is>
          <t>295.00</t>
        </is>
      </c>
      <c r="G291" s="21" t="inlineStr">
        <is>
          <t>ราคาต่อหน่วยที่เสนอมา</t>
        </is>
      </c>
      <c r="H291" s="23" t="inlineStr">
        <is>
          <t>คนกรอก</t>
        </is>
      </c>
      <c r="I291" s="19" t="inlineStr"/>
    </row>
    <row r="292">
      <c r="A292" s="21" t="inlineStr">
        <is>
          <t>Quotations</t>
        </is>
      </c>
      <c r="B292" s="21" t="inlineStr">
        <is>
          <t>qty</t>
        </is>
      </c>
      <c r="C292" s="20" t="inlineStr">
        <is>
          <t>NUMBER</t>
        </is>
      </c>
      <c r="D292" s="20" t="inlineStr">
        <is>
          <t>บังคับ</t>
        </is>
      </c>
      <c r="E292" s="18" t="inlineStr"/>
      <c r="F292" s="21" t="inlineStr">
        <is>
          <t>200</t>
        </is>
      </c>
      <c r="G292" s="21" t="inlineStr">
        <is>
          <t>จำนวน — คัดลอกจากใบขอราคาตอนสร้าง ไม่ให้พิมพ์เอง</t>
        </is>
      </c>
      <c r="H292" s="20" t="inlineStr">
        <is>
          <t>คัดลอกจากเอกสารต้นทาง</t>
        </is>
      </c>
      <c r="I292" s="19" t="inlineStr"/>
    </row>
    <row r="293">
      <c r="A293" s="21" t="inlineStr">
        <is>
          <t>Quotations</t>
        </is>
      </c>
      <c r="B293" s="21" t="inlineStr">
        <is>
          <t>total_amount</t>
        </is>
      </c>
      <c r="C293" s="20" t="inlineStr">
        <is>
          <t>NUMBER</t>
        </is>
      </c>
      <c r="D293" s="20" t="inlineStr">
        <is>
          <t>บังคับ</t>
        </is>
      </c>
      <c r="E293" s="18" t="inlineStr"/>
      <c r="F293" s="21" t="inlineStr">
        <is>
          <t>59000.00</t>
        </is>
      </c>
      <c r="G293" s="21" t="inlineStr">
        <is>
          <t>ราคารวม = unit_price x qty</t>
        </is>
      </c>
      <c r="H293" s="20" t="inlineStr">
        <is>
          <t>ระบบสร้าง/คำนวณ</t>
        </is>
      </c>
      <c r="I293" s="19" t="inlineStr"/>
    </row>
    <row r="294">
      <c r="A294" s="21" t="inlineStr">
        <is>
          <t>Quotations</t>
        </is>
      </c>
      <c r="B294" s="21" t="inlineStr">
        <is>
          <t>currency</t>
        </is>
      </c>
      <c r="C294" s="20" t="inlineStr">
        <is>
          <t>TEXT</t>
        </is>
      </c>
      <c r="D294" s="20" t="inlineStr">
        <is>
          <t>บังคับ</t>
        </is>
      </c>
      <c r="E294" s="18" t="inlineStr"/>
      <c r="F294" s="21" t="inlineStr">
        <is>
          <t>THB</t>
        </is>
      </c>
      <c r="G294" s="21" t="inlineStr">
        <is>
          <t>สกุลเงิน</t>
        </is>
      </c>
      <c r="H294" s="23" t="inlineStr">
        <is>
          <t>คนกรอก</t>
        </is>
      </c>
      <c r="I294" s="19" t="inlineStr"/>
    </row>
    <row r="295">
      <c r="A295" s="21" t="inlineStr">
        <is>
          <t>Quotations</t>
        </is>
      </c>
      <c r="B295" s="21" t="inlineStr">
        <is>
          <t>lead_time</t>
        </is>
      </c>
      <c r="C295" s="20" t="inlineStr">
        <is>
          <t>TEXT</t>
        </is>
      </c>
      <c r="D295" s="20" t="inlineStr">
        <is>
          <t>ไม่บังคับ</t>
        </is>
      </c>
      <c r="E295" s="18" t="inlineStr"/>
      <c r="F295" s="21" t="inlineStr">
        <is>
          <t>7 วัน</t>
        </is>
      </c>
      <c r="G295" s="21" t="inlineStr">
        <is>
          <t>ระยะเวลาส่งมอบ</t>
        </is>
      </c>
      <c r="H295" s="23" t="inlineStr">
        <is>
          <t>คนกรอก</t>
        </is>
      </c>
      <c r="I295" s="19" t="inlineStr"/>
    </row>
    <row r="296">
      <c r="A296" s="21" t="inlineStr">
        <is>
          <t>Quotations</t>
        </is>
      </c>
      <c r="B296" s="21" t="inlineStr">
        <is>
          <t>valid_until</t>
        </is>
      </c>
      <c r="C296" s="20" t="inlineStr">
        <is>
          <t>DATE</t>
        </is>
      </c>
      <c r="D296" s="20" t="inlineStr">
        <is>
          <t>ไม่บังคับ</t>
        </is>
      </c>
      <c r="E296" s="18" t="inlineStr"/>
      <c r="F296" s="21" t="inlineStr"/>
      <c r="G296" s="21" t="inlineStr">
        <is>
          <t>ยืนราคาถึงวันไหน</t>
        </is>
      </c>
      <c r="H296" s="23" t="inlineStr">
        <is>
          <t>คนกรอก</t>
        </is>
      </c>
      <c r="I296" s="19" t="inlineStr"/>
    </row>
    <row r="297">
      <c r="A297" s="21" t="inlineStr">
        <is>
          <t>Quotations</t>
        </is>
      </c>
      <c r="B297" s="21" t="inlineStr">
        <is>
          <t>selected</t>
        </is>
      </c>
      <c r="C297" s="20" t="inlineStr">
        <is>
          <t>BOOLEAN</t>
        </is>
      </c>
      <c r="D297" s="20" t="inlineStr">
        <is>
          <t>บังคับ</t>
        </is>
      </c>
      <c r="E297" s="18" t="inlineStr"/>
      <c r="F297" s="21" t="inlineStr">
        <is>
          <t>TRUE / FALSE</t>
        </is>
      </c>
      <c r="G297" s="21" t="inlineStr">
        <is>
          <t>ใบที่เลือกซื้อ — มีได้ใบเดียวต่อใบขอราคา</t>
        </is>
      </c>
      <c r="H297" s="23" t="inlineStr">
        <is>
          <t>คนกรอก</t>
        </is>
      </c>
      <c r="I297" s="19" t="inlineStr"/>
    </row>
    <row r="298">
      <c r="A298" s="21" t="inlineStr">
        <is>
          <t>Quotations</t>
        </is>
      </c>
      <c r="B298" s="21" t="inlineStr">
        <is>
          <t>converted_po_no</t>
        </is>
      </c>
      <c r="C298" s="20" t="inlineStr">
        <is>
          <t>TEXT</t>
        </is>
      </c>
      <c r="D298" s="20" t="inlineStr">
        <is>
          <t>ไม่บังคับ</t>
        </is>
      </c>
      <c r="E298" s="18" t="inlineStr">
        <is>
          <t>FK</t>
        </is>
      </c>
      <c r="F298" s="21" t="inlineStr">
        <is>
          <t>Purchase_Orders.po_no</t>
        </is>
      </c>
      <c r="G298" s="21" t="inlineStr">
        <is>
          <t>PO ที่เปิดจากใบนี้ — ตามรอยได้สองทาง</t>
        </is>
      </c>
      <c r="H298" s="20" t="inlineStr">
        <is>
          <t>ระบบสร้าง/คำนวณ</t>
        </is>
      </c>
      <c r="I298" s="19" t="inlineStr"/>
    </row>
    <row r="299">
      <c r="A299" s="21" t="inlineStr">
        <is>
          <t>Quotations</t>
        </is>
      </c>
      <c r="B299" s="21" t="inlineStr">
        <is>
          <t>created_by</t>
        </is>
      </c>
      <c r="C299" s="20" t="inlineStr">
        <is>
          <t>TEXT</t>
        </is>
      </c>
      <c r="D299" s="20" t="inlineStr">
        <is>
          <t>บังคับ</t>
        </is>
      </c>
      <c r="E299" s="18" t="inlineStr"/>
      <c r="F299" s="21" t="inlineStr"/>
      <c r="G299" s="21" t="inlineStr"/>
      <c r="H299" s="20" t="inlineStr">
        <is>
          <t>ระบบสร้าง/คำนวณ</t>
        </is>
      </c>
      <c r="I299" s="19" t="inlineStr"/>
    </row>
    <row r="300">
      <c r="A300" s="21" t="inlineStr">
        <is>
          <t>Quotations</t>
        </is>
      </c>
      <c r="B300" s="21" t="inlineStr">
        <is>
          <t>created_at</t>
        </is>
      </c>
      <c r="C300" s="20" t="inlineStr">
        <is>
          <t>DATETIME</t>
        </is>
      </c>
      <c r="D300" s="20" t="inlineStr">
        <is>
          <t>บังคับ</t>
        </is>
      </c>
      <c r="E300" s="18" t="inlineStr"/>
      <c r="F300" s="21" t="inlineStr"/>
      <c r="G300" s="21" t="inlineStr"/>
      <c r="H300" s="20" t="inlineStr">
        <is>
          <t>ระบบสร้าง/คำนวณ</t>
        </is>
      </c>
      <c r="I300" s="19" t="inlineStr"/>
    </row>
    <row r="301">
      <c r="A301" s="10" t="inlineStr">
        <is>
          <t>Stage_Templates</t>
        </is>
      </c>
      <c r="B301" s="5" t="inlineStr">
        <is>
          <t>template_id</t>
        </is>
      </c>
      <c r="C301" s="17" t="inlineStr">
        <is>
          <t>TEXT</t>
        </is>
      </c>
      <c r="D301" s="17" t="inlineStr">
        <is>
          <t>บังคับ</t>
        </is>
      </c>
      <c r="E301" s="18" t="inlineStr">
        <is>
          <t>PK</t>
        </is>
      </c>
      <c r="F301" s="5" t="inlineStr">
        <is>
          <t>DOMESTIC_FOOD-01</t>
        </is>
      </c>
      <c r="G301" s="5" t="inlineStr">
        <is>
          <t>คีย์</t>
        </is>
      </c>
      <c r="H301" s="17" t="inlineStr">
        <is>
          <t>ระบบสร้าง/คำนวณ</t>
        </is>
      </c>
      <c r="I301" s="19" t="inlineStr"/>
    </row>
    <row r="302">
      <c r="A302" s="5" t="inlineStr">
        <is>
          <t>Stage_Templates</t>
        </is>
      </c>
      <c r="B302" s="5" t="inlineStr">
        <is>
          <t>module</t>
        </is>
      </c>
      <c r="C302" s="17" t="inlineStr">
        <is>
          <t>TEXT</t>
        </is>
      </c>
      <c r="D302" s="17" t="inlineStr">
        <is>
          <t>บังคับ</t>
        </is>
      </c>
      <c r="E302" s="18" t="inlineStr"/>
      <c r="F302" s="5" t="inlineStr">
        <is>
          <t>DOMESTIC_FOOD</t>
        </is>
      </c>
      <c r="G302" s="5" t="inlineStr">
        <is>
          <t>งานประเภทไหน</t>
        </is>
      </c>
      <c r="H302" s="23" t="inlineStr">
        <is>
          <t>คนกรอก</t>
        </is>
      </c>
      <c r="I302" s="19" t="inlineStr"/>
    </row>
    <row r="303">
      <c r="A303" s="5" t="inlineStr">
        <is>
          <t>Stage_Templates</t>
        </is>
      </c>
      <c r="B303" s="5" t="inlineStr">
        <is>
          <t>seq</t>
        </is>
      </c>
      <c r="C303" s="17" t="inlineStr">
        <is>
          <t>NUMBER</t>
        </is>
      </c>
      <c r="D303" s="17" t="inlineStr">
        <is>
          <t>บังคับ</t>
        </is>
      </c>
      <c r="E303" s="18" t="inlineStr"/>
      <c r="F303" s="5" t="inlineStr">
        <is>
          <t>1-17</t>
        </is>
      </c>
      <c r="G303" s="5" t="inlineStr">
        <is>
          <t>ลำดับขั้น</t>
        </is>
      </c>
      <c r="H303" s="23" t="inlineStr">
        <is>
          <t>คนกรอก</t>
        </is>
      </c>
      <c r="I303" s="19" t="inlineStr"/>
    </row>
    <row r="304">
      <c r="A304" s="5" t="inlineStr">
        <is>
          <t>Stage_Templates</t>
        </is>
      </c>
      <c r="B304" s="5" t="inlineStr">
        <is>
          <t>stage_code</t>
        </is>
      </c>
      <c r="C304" s="17" t="inlineStr">
        <is>
          <t>TEXT</t>
        </is>
      </c>
      <c r="D304" s="17" t="inlineStr">
        <is>
          <t>บังคับ</t>
        </is>
      </c>
      <c r="E304" s="18" t="inlineStr"/>
      <c r="F304" s="5" t="inlineStr">
        <is>
          <t>QC_INCOMING</t>
        </is>
      </c>
      <c r="G304" s="5" t="inlineStr">
        <is>
          <t>รหัสขั้น</t>
        </is>
      </c>
      <c r="H304" s="23" t="inlineStr">
        <is>
          <t>คนกรอก</t>
        </is>
      </c>
      <c r="I304" s="19" t="inlineStr"/>
    </row>
    <row r="305">
      <c r="A305" s="5" t="inlineStr">
        <is>
          <t>Stage_Templates</t>
        </is>
      </c>
      <c r="B305" s="5" t="inlineStr">
        <is>
          <t>stage_name_th</t>
        </is>
      </c>
      <c r="C305" s="17" t="inlineStr">
        <is>
          <t>TEXT</t>
        </is>
      </c>
      <c r="D305" s="17" t="inlineStr">
        <is>
          <t>บังคับ</t>
        </is>
      </c>
      <c r="E305" s="18" t="inlineStr"/>
      <c r="F305" s="5" t="inlineStr">
        <is>
          <t>QC ตรวจรับ</t>
        </is>
      </c>
      <c r="G305" s="5" t="inlineStr">
        <is>
          <t>ชื่อที่ผู้ใช้เห็น</t>
        </is>
      </c>
      <c r="H305" s="23" t="inlineStr">
        <is>
          <t>คนกรอก</t>
        </is>
      </c>
      <c r="I305" s="19" t="inlineStr"/>
    </row>
    <row r="306">
      <c r="A306" s="5" t="inlineStr">
        <is>
          <t>Stage_Templates</t>
        </is>
      </c>
      <c r="B306" s="5" t="inlineStr">
        <is>
          <t>phase_code</t>
        </is>
      </c>
      <c r="C306" s="17" t="inlineStr">
        <is>
          <t>ENUM</t>
        </is>
      </c>
      <c r="D306" s="17" t="inlineStr">
        <is>
          <t>บังคับ</t>
        </is>
      </c>
      <c r="E306" s="18" t="inlineStr"/>
      <c r="F306" s="5" t="inlineStr">
        <is>
          <t>BUY / RECV / AP / PAY</t>
        </is>
      </c>
      <c r="G306" s="5" t="inlineStr">
        <is>
          <t>เฟสที่ใช้แสดงบนหน้าจอ (ยุบ 17 ขั้นเหลือ 4)</t>
        </is>
      </c>
      <c r="H306" s="23" t="inlineStr">
        <is>
          <t>คนกรอก</t>
        </is>
      </c>
      <c r="I306" s="19" t="inlineStr"/>
    </row>
    <row r="307">
      <c r="A307" s="5" t="inlineStr">
        <is>
          <t>Stage_Templates</t>
        </is>
      </c>
      <c r="B307" s="5" t="inlineStr">
        <is>
          <t>owner_dept</t>
        </is>
      </c>
      <c r="C307" s="17" t="inlineStr">
        <is>
          <t>ENUM</t>
        </is>
      </c>
      <c r="D307" s="17" t="inlineStr">
        <is>
          <t>บังคับ</t>
        </is>
      </c>
      <c r="E307" s="18" t="inlineStr"/>
      <c r="F307" s="5" t="inlineStr">
        <is>
          <t>SR / QC / LS / WH / AC / GM</t>
        </is>
      </c>
      <c r="G307" s="5" t="inlineStr">
        <is>
          <t>แผนกเจ้าของขั้น</t>
        </is>
      </c>
      <c r="H307" s="23" t="inlineStr">
        <is>
          <t>คนกรอก</t>
        </is>
      </c>
      <c r="I307" s="19" t="inlineStr"/>
    </row>
    <row r="308">
      <c r="A308" s="5" t="inlineStr">
        <is>
          <t>Stage_Templates</t>
        </is>
      </c>
      <c r="B308" s="5" t="inlineStr">
        <is>
          <t>owner_resolve</t>
        </is>
      </c>
      <c r="C308" s="17" t="inlineStr">
        <is>
          <t>ENUM</t>
        </is>
      </c>
      <c r="D308" s="17" t="inlineStr">
        <is>
          <t>บังคับ</t>
        </is>
      </c>
      <c r="E308" s="18" t="inlineStr"/>
      <c r="F308" s="5" t="inlineStr">
        <is>
          <t>DEPT_QUEUE / PO_OWNER / ROLE / FIXED_EMAIL</t>
        </is>
      </c>
      <c r="G308" s="5" t="inlineStr">
        <is>
          <t>วิธีหาตัวคนที่รับผิดชอบ</t>
        </is>
      </c>
      <c r="H308" s="23" t="inlineStr">
        <is>
          <t>คนกรอก</t>
        </is>
      </c>
      <c r="I308" s="19" t="inlineStr"/>
    </row>
    <row r="309">
      <c r="A309" s="5" t="inlineStr">
        <is>
          <t>Stage_Templates</t>
        </is>
      </c>
      <c r="B309" s="5" t="inlineStr">
        <is>
          <t>owner_value</t>
        </is>
      </c>
      <c r="C309" s="17" t="inlineStr">
        <is>
          <t>TEXT</t>
        </is>
      </c>
      <c r="D309" s="17" t="inlineStr">
        <is>
          <t>ไม่บังคับ</t>
        </is>
      </c>
      <c r="E309" s="18" t="inlineStr"/>
      <c r="F309" s="5" t="inlineStr"/>
      <c r="G309" s="5" t="inlineStr">
        <is>
          <t>ค่าประกอบของ owner_resolve</t>
        </is>
      </c>
      <c r="H309" s="23" t="inlineStr">
        <is>
          <t>คนกรอก</t>
        </is>
      </c>
      <c r="I309" s="19" t="inlineStr"/>
    </row>
    <row r="310">
      <c r="A310" s="5" t="inlineStr">
        <is>
          <t>Stage_Templates</t>
        </is>
      </c>
      <c r="B310" s="5" t="inlineStr">
        <is>
          <t>sla_hours</t>
        </is>
      </c>
      <c r="C310" s="17" t="inlineStr">
        <is>
          <t>NUMBER</t>
        </is>
      </c>
      <c r="D310" s="17" t="inlineStr">
        <is>
          <t>บังคับ</t>
        </is>
      </c>
      <c r="E310" s="18" t="inlineStr"/>
      <c r="F310" s="5" t="inlineStr">
        <is>
          <t>24</t>
        </is>
      </c>
      <c r="G310" s="5" t="inlineStr">
        <is>
          <t>ควรเสร็จในกี่ชั่วโมง — แก้ที่แท็บ «ขั้นตอนงาน»</t>
        </is>
      </c>
      <c r="H310" s="23" t="inlineStr">
        <is>
          <t>คนกรอก</t>
        </is>
      </c>
      <c r="I310" s="19" t="inlineStr"/>
    </row>
    <row r="311">
      <c r="A311" s="5" t="inlineStr">
        <is>
          <t>Stage_Templates</t>
        </is>
      </c>
      <c r="B311" s="5" t="inlineStr">
        <is>
          <t>skip_condition</t>
        </is>
      </c>
      <c r="C311" s="17" t="inlineStr">
        <is>
          <t>TEXT</t>
        </is>
      </c>
      <c r="D311" s="17" t="inlineStr">
        <is>
          <t>ไม่บังคับ</t>
        </is>
      </c>
      <c r="E311" s="18" t="inlineStr"/>
      <c r="F311" s="5" t="inlineStr">
        <is>
          <t>has_sap_item_code = TRUE</t>
        </is>
      </c>
      <c r="G311" s="5" t="inlineStr">
        <is>
          <t>เงื่อนไขข้ามขั้น</t>
        </is>
      </c>
      <c r="H311" s="23" t="inlineStr">
        <is>
          <t>คนกรอก</t>
        </is>
      </c>
      <c r="I311" s="19" t="inlineStr"/>
    </row>
    <row r="312">
      <c r="A312" s="5" t="inlineStr">
        <is>
          <t>Stage_Templates</t>
        </is>
      </c>
      <c r="B312" s="5" t="inlineStr">
        <is>
          <t>branch_on_fail</t>
        </is>
      </c>
      <c r="C312" s="17" t="inlineStr">
        <is>
          <t>TEXT</t>
        </is>
      </c>
      <c r="D312" s="17" t="inlineStr">
        <is>
          <t>ไม่บังคับ</t>
        </is>
      </c>
      <c r="E312" s="18" t="inlineStr"/>
      <c r="F312" s="5" t="inlineStr">
        <is>
          <t>CLAIM</t>
        </is>
      </c>
      <c r="G312" s="5" t="inlineStr">
        <is>
          <t>ถ้าไม่ผ่านให้แตกไปทางไหน</t>
        </is>
      </c>
      <c r="H312" s="23" t="inlineStr">
        <is>
          <t>คนกรอก</t>
        </is>
      </c>
      <c r="I312" s="19" t="inlineStr"/>
    </row>
    <row r="313">
      <c r="A313" s="5" t="inlineStr">
        <is>
          <t>Stage_Templates</t>
        </is>
      </c>
      <c r="B313" s="5" t="inlineStr">
        <is>
          <t>requires_approval</t>
        </is>
      </c>
      <c r="C313" s="17" t="inlineStr">
        <is>
          <t>BOOLEAN</t>
        </is>
      </c>
      <c r="D313" s="17" t="inlineStr">
        <is>
          <t>บังคับ</t>
        </is>
      </c>
      <c r="E313" s="18" t="inlineStr"/>
      <c r="F313" s="5" t="inlineStr">
        <is>
          <t>TRUE / FALSE</t>
        </is>
      </c>
      <c r="G313" s="5" t="inlineStr">
        <is>
          <t>ขั้นนี้ต้องมีการอนุมัติไหม</t>
        </is>
      </c>
      <c r="H313" s="23" t="inlineStr">
        <is>
          <t>คนกรอก</t>
        </is>
      </c>
      <c r="I313" s="19" t="inlineStr"/>
    </row>
    <row r="314">
      <c r="A314" s="5" t="inlineStr">
        <is>
          <t>Stage_Templates</t>
        </is>
      </c>
      <c r="B314" s="5" t="inlineStr">
        <is>
          <t>is_active</t>
        </is>
      </c>
      <c r="C314" s="17" t="inlineStr">
        <is>
          <t>BOOLEAN</t>
        </is>
      </c>
      <c r="D314" s="17" t="inlineStr">
        <is>
          <t>บังคับ</t>
        </is>
      </c>
      <c r="E314" s="18" t="inlineStr"/>
      <c r="F314" s="5" t="inlineStr">
        <is>
          <t>TRUE / FALSE</t>
        </is>
      </c>
      <c r="G314" s="5" t="inlineStr">
        <is>
          <t>เปิดใช้อยู่ไหม</t>
        </is>
      </c>
      <c r="H314" s="23" t="inlineStr">
        <is>
          <t>คนกรอก</t>
        </is>
      </c>
      <c r="I314" s="19" t="inlineStr"/>
    </row>
    <row r="315">
      <c r="A315" s="10" t="inlineStr">
        <is>
          <t>Doc_Templates</t>
        </is>
      </c>
      <c r="B315" s="5" t="inlineStr">
        <is>
          <t>doc_template_id</t>
        </is>
      </c>
      <c r="C315" s="17" t="inlineStr">
        <is>
          <t>TEXT</t>
        </is>
      </c>
      <c r="D315" s="17" t="inlineStr">
        <is>
          <t>บังคับ</t>
        </is>
      </c>
      <c r="E315" s="18" t="inlineStr">
        <is>
          <t>PK</t>
        </is>
      </c>
      <c r="F315" s="5" t="inlineStr"/>
      <c r="G315" s="5" t="inlineStr">
        <is>
          <t>คีย์</t>
        </is>
      </c>
      <c r="H315" s="17" t="inlineStr">
        <is>
          <t>ระบบสร้าง/คำนวณ</t>
        </is>
      </c>
      <c r="I315" s="19" t="inlineStr"/>
    </row>
    <row r="316">
      <c r="A316" s="5" t="inlineStr">
        <is>
          <t>Doc_Templates</t>
        </is>
      </c>
      <c r="B316" s="5" t="inlineStr">
        <is>
          <t>module</t>
        </is>
      </c>
      <c r="C316" s="17" t="inlineStr">
        <is>
          <t>TEXT</t>
        </is>
      </c>
      <c r="D316" s="17" t="inlineStr">
        <is>
          <t>บังคับ</t>
        </is>
      </c>
      <c r="E316" s="18" t="inlineStr"/>
      <c r="F316" s="5" t="inlineStr">
        <is>
          <t>DOMESTIC_FOOD</t>
        </is>
      </c>
      <c r="G316" s="5" t="inlineStr">
        <is>
          <t>งานประเภทไหน</t>
        </is>
      </c>
      <c r="H316" s="23" t="inlineStr">
        <is>
          <t>คนกรอก</t>
        </is>
      </c>
      <c r="I316" s="19" t="inlineStr"/>
    </row>
    <row r="317">
      <c r="A317" s="5" t="inlineStr">
        <is>
          <t>Doc_Templates</t>
        </is>
      </c>
      <c r="B317" s="5" t="inlineStr">
        <is>
          <t>doc_type</t>
        </is>
      </c>
      <c r="C317" s="17" t="inlineStr">
        <is>
          <t>TEXT</t>
        </is>
      </c>
      <c r="D317" s="17" t="inlineStr">
        <is>
          <t>บังคับ</t>
        </is>
      </c>
      <c r="E317" s="18" t="inlineStr"/>
      <c r="F317" s="5" t="inlineStr">
        <is>
          <t>INVOICE</t>
        </is>
      </c>
      <c r="G317" s="5" t="inlineStr">
        <is>
          <t>รหัสประเภทเอกสาร</t>
        </is>
      </c>
      <c r="H317" s="23" t="inlineStr">
        <is>
          <t>คนกรอก</t>
        </is>
      </c>
      <c r="I317" s="19" t="inlineStr"/>
    </row>
    <row r="318">
      <c r="A318" s="5" t="inlineStr">
        <is>
          <t>Doc_Templates</t>
        </is>
      </c>
      <c r="B318" s="5" t="inlineStr">
        <is>
          <t>doc_name_th</t>
        </is>
      </c>
      <c r="C318" s="17" t="inlineStr">
        <is>
          <t>TEXT</t>
        </is>
      </c>
      <c r="D318" s="17" t="inlineStr">
        <is>
          <t>บังคับ</t>
        </is>
      </c>
      <c r="E318" s="18" t="inlineStr"/>
      <c r="F318" s="5" t="inlineStr">
        <is>
          <t>ใบแจ้งหนี้</t>
        </is>
      </c>
      <c r="G318" s="5" t="inlineStr">
        <is>
          <t>ชื่อที่ผู้ใช้เห็น</t>
        </is>
      </c>
      <c r="H318" s="23" t="inlineStr">
        <is>
          <t>คนกรอก</t>
        </is>
      </c>
      <c r="I318" s="19" t="inlineStr"/>
    </row>
    <row r="319">
      <c r="A319" s="5" t="inlineStr">
        <is>
          <t>Doc_Templates</t>
        </is>
      </c>
      <c r="B319" s="5" t="inlineStr">
        <is>
          <t>owner_dept</t>
        </is>
      </c>
      <c r="C319" s="17" t="inlineStr">
        <is>
          <t>ENUM</t>
        </is>
      </c>
      <c r="D319" s="17" t="inlineStr">
        <is>
          <t>บังคับ</t>
        </is>
      </c>
      <c r="E319" s="18" t="inlineStr"/>
      <c r="F319" s="5" t="inlineStr">
        <is>
          <t>SR / QC / LS / WH / AC</t>
        </is>
      </c>
      <c r="G319" s="5" t="inlineStr">
        <is>
          <t>แผนกเจ้าของเอกสาร</t>
        </is>
      </c>
      <c r="H319" s="23" t="inlineStr">
        <is>
          <t>คนกรอก</t>
        </is>
      </c>
      <c r="I319" s="19" t="inlineStr"/>
    </row>
    <row r="320">
      <c r="A320" s="5" t="inlineStr">
        <is>
          <t>Doc_Templates</t>
        </is>
      </c>
      <c r="B320" s="5" t="inlineStr">
        <is>
          <t>is_required</t>
        </is>
      </c>
      <c r="C320" s="17" t="inlineStr">
        <is>
          <t>BOOLEAN</t>
        </is>
      </c>
      <c r="D320" s="17" t="inlineStr">
        <is>
          <t>บังคับ</t>
        </is>
      </c>
      <c r="E320" s="18" t="inlineStr"/>
      <c r="F320" s="5" t="inlineStr">
        <is>
          <t>TRUE / FALSE</t>
        </is>
      </c>
      <c r="G320" s="5" t="inlineStr">
        <is>
          <t>บังคับหรือไม่</t>
        </is>
      </c>
      <c r="H320" s="23" t="inlineStr">
        <is>
          <t>คนกรอก</t>
        </is>
      </c>
      <c r="I320" s="19" t="inlineStr"/>
    </row>
    <row r="321">
      <c r="A321" s="5" t="inlineStr">
        <is>
          <t>Doc_Templates</t>
        </is>
      </c>
      <c r="B321" s="5" t="inlineStr">
        <is>
          <t>stage_code</t>
        </is>
      </c>
      <c r="C321" s="17" t="inlineStr">
        <is>
          <t>TEXT</t>
        </is>
      </c>
      <c r="D321" s="17" t="inlineStr">
        <is>
          <t>บังคับ</t>
        </is>
      </c>
      <c r="E321" s="18" t="inlineStr"/>
      <c r="F321" s="5" t="inlineStr">
        <is>
          <t>INVOICE_RECEIVED</t>
        </is>
      </c>
      <c r="G321" s="5" t="inlineStr">
        <is>
          <t>เกิดที่ขั้นไหน</t>
        </is>
      </c>
      <c r="H321" s="23" t="inlineStr">
        <is>
          <t>คนกรอก</t>
        </is>
      </c>
      <c r="I321" s="19" t="inlineStr"/>
    </row>
    <row r="322">
      <c r="A322" s="5" t="inlineStr">
        <is>
          <t>Doc_Templates</t>
        </is>
      </c>
      <c r="B322" s="5" t="inlineStr">
        <is>
          <t>needs_amount</t>
        </is>
      </c>
      <c r="C322" s="17" t="inlineStr">
        <is>
          <t>BOOLEAN</t>
        </is>
      </c>
      <c r="D322" s="17" t="inlineStr">
        <is>
          <t>บังคับ</t>
        </is>
      </c>
      <c r="E322" s="18" t="inlineStr"/>
      <c r="F322" s="5" t="inlineStr">
        <is>
          <t>TRUE / FALSE</t>
        </is>
      </c>
      <c r="G322" s="5" t="inlineStr">
        <is>
          <t>ต้องกรอกยอดไหม (ใช้เทียบ 3 ทาง)</t>
        </is>
      </c>
      <c r="H322" s="23" t="inlineStr">
        <is>
          <t>คนกรอก</t>
        </is>
      </c>
      <c r="I322" s="19" t="inlineStr"/>
    </row>
    <row r="323">
      <c r="A323" s="5" t="inlineStr">
        <is>
          <t>Doc_Templates</t>
        </is>
      </c>
      <c r="B323" s="5" t="inlineStr">
        <is>
          <t>needs_approval</t>
        </is>
      </c>
      <c r="C323" s="17" t="inlineStr">
        <is>
          <t>BOOLEAN</t>
        </is>
      </c>
      <c r="D323" s="17" t="inlineStr">
        <is>
          <t>บังคับ</t>
        </is>
      </c>
      <c r="E323" s="18" t="inlineStr"/>
      <c r="F323" s="5" t="inlineStr">
        <is>
          <t>TRUE / FALSE</t>
        </is>
      </c>
      <c r="G323" s="5" t="inlineStr">
        <is>
          <t>ต้องอนุมัติไหม</t>
        </is>
      </c>
      <c r="H323" s="23" t="inlineStr">
        <is>
          <t>คนกรอก</t>
        </is>
      </c>
      <c r="I323" s="19" t="inlineStr"/>
    </row>
    <row r="324">
      <c r="A324" s="5" t="inlineStr">
        <is>
          <t>Doc_Templates</t>
        </is>
      </c>
      <c r="B324" s="5" t="inlineStr">
        <is>
          <t>is_physical</t>
        </is>
      </c>
      <c r="C324" s="17" t="inlineStr">
        <is>
          <t>BOOLEAN</t>
        </is>
      </c>
      <c r="D324" s="17" t="inlineStr">
        <is>
          <t>บังคับ</t>
        </is>
      </c>
      <c r="E324" s="18" t="inlineStr"/>
      <c r="F324" s="5" t="inlineStr">
        <is>
          <t>TRUE / FALSE</t>
        </is>
      </c>
      <c r="G324" s="5" t="inlineStr">
        <is>
          <t>ต้องติดตามตัวจริงไหม</t>
        </is>
      </c>
      <c r="H324" s="23" t="inlineStr">
        <is>
          <t>คนกรอก</t>
        </is>
      </c>
      <c r="I324" s="19" t="inlineStr"/>
    </row>
    <row r="325">
      <c r="A325" s="5" t="inlineStr">
        <is>
          <t>Doc_Templates</t>
        </is>
      </c>
      <c r="B325" s="5" t="inlineStr">
        <is>
          <t>allowed_mime</t>
        </is>
      </c>
      <c r="C325" s="17" t="inlineStr">
        <is>
          <t>TEXT</t>
        </is>
      </c>
      <c r="D325" s="17" t="inlineStr">
        <is>
          <t>บังคับ</t>
        </is>
      </c>
      <c r="E325" s="18" t="inlineStr"/>
      <c r="F325" s="5" t="inlineStr">
        <is>
          <t>application/pdf,image/jpeg,image/png</t>
        </is>
      </c>
      <c r="G325" s="5" t="inlineStr">
        <is>
          <t>ชนิดไฟล์ที่รับ</t>
        </is>
      </c>
      <c r="H325" s="23" t="inlineStr">
        <is>
          <t>คนกรอก</t>
        </is>
      </c>
      <c r="I325" s="19" t="inlineStr"/>
    </row>
    <row r="326">
      <c r="A326" s="5" t="inlineStr">
        <is>
          <t>Doc_Templates</t>
        </is>
      </c>
      <c r="B326" s="5" t="inlineStr">
        <is>
          <t>seq</t>
        </is>
      </c>
      <c r="C326" s="17" t="inlineStr">
        <is>
          <t>NUMBER</t>
        </is>
      </c>
      <c r="D326" s="17" t="inlineStr">
        <is>
          <t>บังคับ</t>
        </is>
      </c>
      <c r="E326" s="18" t="inlineStr"/>
      <c r="F326" s="5" t="inlineStr"/>
      <c r="G326" s="5" t="inlineStr">
        <is>
          <t>ลำดับแสดงผล</t>
        </is>
      </c>
      <c r="H326" s="23" t="inlineStr">
        <is>
          <t>คนกรอก</t>
        </is>
      </c>
      <c r="I326" s="19" t="inlineStr"/>
    </row>
    <row r="327">
      <c r="A327" s="5" t="inlineStr">
        <is>
          <t>Doc_Templates</t>
        </is>
      </c>
      <c r="B327" s="5" t="inlineStr">
        <is>
          <t>is_active</t>
        </is>
      </c>
      <c r="C327" s="17" t="inlineStr">
        <is>
          <t>BOOLEAN</t>
        </is>
      </c>
      <c r="D327" s="17" t="inlineStr">
        <is>
          <t>บังคับ</t>
        </is>
      </c>
      <c r="E327" s="18" t="inlineStr"/>
      <c r="F327" s="5" t="inlineStr">
        <is>
          <t>TRUE / FALSE</t>
        </is>
      </c>
      <c r="G327" s="5" t="inlineStr">
        <is>
          <t>เปิดใช้อยู่ไหม</t>
        </is>
      </c>
      <c r="H327" s="23" t="inlineStr">
        <is>
          <t>คนกรอก</t>
        </is>
      </c>
      <c r="I327" s="19" t="inlineStr"/>
    </row>
    <row r="328">
      <c r="A328" s="10" t="inlineStr">
        <is>
          <t>Users</t>
        </is>
      </c>
      <c r="B328" s="5" t="inlineStr">
        <is>
          <t>email</t>
        </is>
      </c>
      <c r="C328" s="17" t="inlineStr">
        <is>
          <t>TEXT</t>
        </is>
      </c>
      <c r="D328" s="17" t="inlineStr">
        <is>
          <t>บังคับ</t>
        </is>
      </c>
      <c r="E328" s="18" t="inlineStr">
        <is>
          <t>PK</t>
        </is>
      </c>
      <c r="F328" s="5" t="inlineStr">
        <is>
          <t>somchai@mgs.co.th</t>
        </is>
      </c>
      <c r="G328" s="5" t="inlineStr">
        <is>
          <t>อีเมลคือ identity ของผู้ใช้</t>
        </is>
      </c>
      <c r="H328" s="23" t="inlineStr">
        <is>
          <t>คนกรอก</t>
        </is>
      </c>
      <c r="I328" s="19" t="inlineStr"/>
    </row>
    <row r="329">
      <c r="A329" s="5" t="inlineStr">
        <is>
          <t>Users</t>
        </is>
      </c>
      <c r="B329" s="5" t="inlineStr">
        <is>
          <t>full_name</t>
        </is>
      </c>
      <c r="C329" s="17" t="inlineStr">
        <is>
          <t>TEXT</t>
        </is>
      </c>
      <c r="D329" s="17" t="inlineStr">
        <is>
          <t>บังคับ</t>
        </is>
      </c>
      <c r="E329" s="18" t="inlineStr"/>
      <c r="F329" s="5" t="inlineStr"/>
      <c r="G329" s="5" t="inlineStr">
        <is>
          <t>ชื่อที่แสดงในระบบ</t>
        </is>
      </c>
      <c r="H329" s="23" t="inlineStr">
        <is>
          <t>คนกรอก</t>
        </is>
      </c>
      <c r="I329" s="19" t="inlineStr"/>
    </row>
    <row r="330">
      <c r="A330" s="5" t="inlineStr">
        <is>
          <t>Users</t>
        </is>
      </c>
      <c r="B330" s="5" t="inlineStr">
        <is>
          <t>dept</t>
        </is>
      </c>
      <c r="C330" s="17" t="inlineStr">
        <is>
          <t>ENUM</t>
        </is>
      </c>
      <c r="D330" s="17" t="inlineStr">
        <is>
          <t>บังคับ</t>
        </is>
      </c>
      <c r="E330" s="18" t="inlineStr"/>
      <c r="F330" s="5" t="inlineStr">
        <is>
          <t>SR / QC / LS / WH / AC / GM / IT</t>
        </is>
      </c>
      <c r="G330" s="5" t="inlineStr">
        <is>
          <t>แผนก</t>
        </is>
      </c>
      <c r="H330" s="23" t="inlineStr">
        <is>
          <t>คนกรอก</t>
        </is>
      </c>
      <c r="I330" s="19" t="inlineStr"/>
    </row>
    <row r="331">
      <c r="A331" s="5" t="inlineStr">
        <is>
          <t>Users</t>
        </is>
      </c>
      <c r="B331" s="5" t="inlineStr">
        <is>
          <t>roles</t>
        </is>
      </c>
      <c r="C331" s="17" t="inlineStr">
        <is>
          <t>TEXT</t>
        </is>
      </c>
      <c r="D331" s="17" t="inlineStr">
        <is>
          <t>บังคับ</t>
        </is>
      </c>
      <c r="E331" s="18" t="inlineStr"/>
      <c r="F331" s="5" t="inlineStr">
        <is>
          <t>SR,SR_HEAD</t>
        </is>
      </c>
      <c r="G331" s="5" t="inlineStr">
        <is>
          <t>บทบาท (มีได้หลายบทบาท)</t>
        </is>
      </c>
      <c r="H331" s="23" t="inlineStr">
        <is>
          <t>คนกรอก</t>
        </is>
      </c>
      <c r="I331" s="19" t="inlineStr"/>
    </row>
    <row r="332">
      <c r="A332" s="5" t="inlineStr">
        <is>
          <t>Users</t>
        </is>
      </c>
      <c r="B332" s="5" t="inlineStr">
        <is>
          <t>lark_user_id</t>
        </is>
      </c>
      <c r="C332" s="17" t="inlineStr">
        <is>
          <t>TEXT</t>
        </is>
      </c>
      <c r="D332" s="17" t="inlineStr">
        <is>
          <t>บังคับ</t>
        </is>
      </c>
      <c r="E332" s="18" t="inlineStr"/>
      <c r="F332" s="5" t="inlineStr">
        <is>
          <t>ou_xxxxx</t>
        </is>
      </c>
      <c r="G332" s="5" t="inlineStr">
        <is>
          <t>จำเป็นทุกคน เพราะแจ้งเตือนภายในใช้ Lark ช่องทางเดียว</t>
        </is>
      </c>
      <c r="H332" s="23" t="inlineStr">
        <is>
          <t>คนกรอก</t>
        </is>
      </c>
      <c r="I332" s="19" t="inlineStr"/>
    </row>
    <row r="333">
      <c r="A333" s="5" t="inlineStr">
        <is>
          <t>Users</t>
        </is>
      </c>
      <c r="B333" s="5" t="inlineStr">
        <is>
          <t>manager_email</t>
        </is>
      </c>
      <c r="C333" s="17" t="inlineStr">
        <is>
          <t>TEXT</t>
        </is>
      </c>
      <c r="D333" s="17" t="inlineStr">
        <is>
          <t>ไม่บังคับ</t>
        </is>
      </c>
      <c r="E333" s="18" t="inlineStr">
        <is>
          <t>FK</t>
        </is>
      </c>
      <c r="F333" s="5" t="inlineStr">
        <is>
          <t>Users.email</t>
        </is>
      </c>
      <c r="G333" s="5" t="inlineStr">
        <is>
          <t>หัวหน้า — ใช้ตอน escalate เมื่อเลย SLA</t>
        </is>
      </c>
      <c r="H333" s="23" t="inlineStr">
        <is>
          <t>คนกรอก</t>
        </is>
      </c>
      <c r="I333" s="19" t="inlineStr"/>
    </row>
    <row r="334">
      <c r="A334" s="5" t="inlineStr">
        <is>
          <t>Users</t>
        </is>
      </c>
      <c r="B334" s="5" t="inlineStr">
        <is>
          <t>delegate_email</t>
        </is>
      </c>
      <c r="C334" s="17" t="inlineStr">
        <is>
          <t>TEXT</t>
        </is>
      </c>
      <c r="D334" s="17" t="inlineStr">
        <is>
          <t>ไม่บังคับ</t>
        </is>
      </c>
      <c r="E334" s="18" t="inlineStr">
        <is>
          <t>FK</t>
        </is>
      </c>
      <c r="F334" s="5" t="inlineStr">
        <is>
          <t>Users.email</t>
        </is>
      </c>
      <c r="G334" s="5" t="inlineStr">
        <is>
          <t>ผู้รับมอบอำนาจตอนลา</t>
        </is>
      </c>
      <c r="H334" s="23" t="inlineStr">
        <is>
          <t>คนกรอก</t>
        </is>
      </c>
      <c r="I334" s="19" t="inlineStr"/>
    </row>
    <row r="335">
      <c r="A335" s="5" t="inlineStr">
        <is>
          <t>Users</t>
        </is>
      </c>
      <c r="B335" s="5" t="inlineStr">
        <is>
          <t>delegate_until</t>
        </is>
      </c>
      <c r="C335" s="17" t="inlineStr">
        <is>
          <t>DATE</t>
        </is>
      </c>
      <c r="D335" s="17" t="inlineStr">
        <is>
          <t>ไม่บังคับ</t>
        </is>
      </c>
      <c r="E335" s="18" t="inlineStr"/>
      <c r="F335" s="5" t="inlineStr"/>
      <c r="G335" s="5" t="inlineStr">
        <is>
          <t>มอบอำนาจถึงวันไหน</t>
        </is>
      </c>
      <c r="H335" s="23" t="inlineStr">
        <is>
          <t>คนกรอก</t>
        </is>
      </c>
      <c r="I335" s="19" t="inlineStr"/>
    </row>
    <row r="336">
      <c r="A336" s="5" t="inlineStr">
        <is>
          <t>Users</t>
        </is>
      </c>
      <c r="B336" s="5" t="inlineStr">
        <is>
          <t>approval_limit</t>
        </is>
      </c>
      <c r="C336" s="17" t="inlineStr">
        <is>
          <t>NUMBER</t>
        </is>
      </c>
      <c r="D336" s="17" t="inlineStr">
        <is>
          <t>ไม่บังคับ</t>
        </is>
      </c>
      <c r="E336" s="18" t="inlineStr"/>
      <c r="F336" s="5" t="inlineStr">
        <is>
          <t>50000</t>
        </is>
      </c>
      <c r="G336" s="5" t="inlineStr">
        <is>
          <t>วงเงินอนุมัติ</t>
        </is>
      </c>
      <c r="H336" s="23" t="inlineStr">
        <is>
          <t>คนกรอก</t>
        </is>
      </c>
      <c r="I336" s="19" t="inlineStr"/>
    </row>
    <row r="337">
      <c r="A337" s="5" t="inlineStr">
        <is>
          <t>Users</t>
        </is>
      </c>
      <c r="B337" s="5" t="inlineStr">
        <is>
          <t>notify_channel</t>
        </is>
      </c>
      <c r="C337" s="17" t="inlineStr">
        <is>
          <t>ENUM</t>
        </is>
      </c>
      <c r="D337" s="17" t="inlineStr">
        <is>
          <t>ไม่บังคับ</t>
        </is>
      </c>
      <c r="E337" s="18" t="inlineStr"/>
      <c r="F337" s="5" t="inlineStr">
        <is>
          <t>LARK / EMAIL / BOTH</t>
        </is>
      </c>
      <c r="G337" s="5" t="inlineStr">
        <is>
          <t>ช่องทางที่ผู้ใช้เลือก</t>
        </is>
      </c>
      <c r="H337" s="23" t="inlineStr">
        <is>
          <t>คนกรอก</t>
        </is>
      </c>
      <c r="I337" s="19" t="inlineStr"/>
    </row>
    <row r="338">
      <c r="A338" s="5" t="inlineStr">
        <is>
          <t>Users</t>
        </is>
      </c>
      <c r="B338" s="5" t="inlineStr">
        <is>
          <t>is_active</t>
        </is>
      </c>
      <c r="C338" s="17" t="inlineStr">
        <is>
          <t>BOOLEAN</t>
        </is>
      </c>
      <c r="D338" s="17" t="inlineStr">
        <is>
          <t>บังคับ</t>
        </is>
      </c>
      <c r="E338" s="18" t="inlineStr"/>
      <c r="F338" s="5" t="inlineStr">
        <is>
          <t>TRUE / FALSE</t>
        </is>
      </c>
      <c r="G338" s="5" t="inlineStr">
        <is>
          <t>ยังทำงานอยู่ไหม</t>
        </is>
      </c>
      <c r="H338" s="23" t="inlineStr">
        <is>
          <t>คนกรอก</t>
        </is>
      </c>
      <c r="I338" s="19" t="inlineStr"/>
    </row>
    <row r="339">
      <c r="A339" s="10" t="inlineStr">
        <is>
          <t>Suppliers</t>
        </is>
      </c>
      <c r="B339" s="5" t="inlineStr">
        <is>
          <t>supplier_code</t>
        </is>
      </c>
      <c r="C339" s="17" t="inlineStr">
        <is>
          <t>TEXT</t>
        </is>
      </c>
      <c r="D339" s="17" t="inlineStr">
        <is>
          <t>บังคับ</t>
        </is>
      </c>
      <c r="E339" s="18" t="inlineStr">
        <is>
          <t>PK</t>
        </is>
      </c>
      <c r="F339" s="5" t="inlineStr">
        <is>
          <t>OCRD.CardCode</t>
        </is>
      </c>
      <c r="G339" s="5" t="inlineStr">
        <is>
          <t>รหัสผู้ขาย — ตรงกับ B1</t>
        </is>
      </c>
      <c r="H339" s="17" t="inlineStr">
        <is>
          <t>ดึงจาก B1</t>
        </is>
      </c>
      <c r="I339" s="19" t="inlineStr"/>
    </row>
    <row r="340">
      <c r="A340" s="5" t="inlineStr">
        <is>
          <t>Suppliers</t>
        </is>
      </c>
      <c r="B340" s="5" t="inlineStr">
        <is>
          <t>supplier_name</t>
        </is>
      </c>
      <c r="C340" s="17" t="inlineStr">
        <is>
          <t>TEXT</t>
        </is>
      </c>
      <c r="D340" s="17" t="inlineStr">
        <is>
          <t>บังคับ</t>
        </is>
      </c>
      <c r="E340" s="18" t="inlineStr"/>
      <c r="F340" s="5" t="inlineStr">
        <is>
          <t>OCRD.CardName</t>
        </is>
      </c>
      <c r="G340" s="5" t="inlineStr">
        <is>
          <t>ชื่อผู้ขาย</t>
        </is>
      </c>
      <c r="H340" s="17" t="inlineStr">
        <is>
          <t>ดึงจาก B1</t>
        </is>
      </c>
      <c r="I340" s="19" t="inlineStr"/>
    </row>
    <row r="341">
      <c r="A341" s="5" t="inlineStr">
        <is>
          <t>Suppliers</t>
        </is>
      </c>
      <c r="B341" s="5" t="inlineStr">
        <is>
          <t>contact_email</t>
        </is>
      </c>
      <c r="C341" s="17" t="inlineStr">
        <is>
          <t>TEXT</t>
        </is>
      </c>
      <c r="D341" s="17" t="inlineStr">
        <is>
          <t>ไม่บังคับ</t>
        </is>
      </c>
      <c r="E341" s="18" t="inlineStr"/>
      <c r="F341" s="5" t="inlineStr">
        <is>
          <t>OCRD.E_Mail</t>
        </is>
      </c>
      <c r="G341" s="5" t="inlineStr">
        <is>
          <t>อีเมล — ใช้ส่งสลิปให้อัตโนมัติ</t>
        </is>
      </c>
      <c r="H341" s="17" t="inlineStr">
        <is>
          <t>ดึงจาก B1</t>
        </is>
      </c>
      <c r="I341" s="19" t="inlineStr"/>
    </row>
    <row r="342">
      <c r="A342" s="5" t="inlineStr">
        <is>
          <t>Suppliers</t>
        </is>
      </c>
      <c r="B342" s="5" t="inlineStr">
        <is>
          <t>contact_line</t>
        </is>
      </c>
      <c r="C342" s="17" t="inlineStr">
        <is>
          <t>TEXT</t>
        </is>
      </c>
      <c r="D342" s="17" t="inlineStr">
        <is>
          <t>ไม่บังคับ</t>
        </is>
      </c>
      <c r="E342" s="18" t="inlineStr"/>
      <c r="F342" s="5" t="inlineStr"/>
      <c r="G342" s="5" t="inlineStr">
        <is>
          <t>LINE ของผู้ขาย (ภายนอกเท่านั้น ไม่ใช่ช่องแจ้งเตือนภายใน)</t>
        </is>
      </c>
      <c r="H342" s="23" t="inlineStr">
        <is>
          <t>คนกรอก</t>
        </is>
      </c>
      <c r="I342" s="19" t="inlineStr"/>
    </row>
    <row r="343">
      <c r="A343" s="5" t="inlineStr">
        <is>
          <t>Suppliers</t>
        </is>
      </c>
      <c r="B343" s="5" t="inlineStr">
        <is>
          <t>payment_term</t>
        </is>
      </c>
      <c r="C343" s="17" t="inlineStr">
        <is>
          <t>TEXT</t>
        </is>
      </c>
      <c r="D343" s="17" t="inlineStr">
        <is>
          <t>ไม่บังคับ</t>
        </is>
      </c>
      <c r="E343" s="18" t="inlineStr"/>
      <c r="F343" s="5" t="inlineStr">
        <is>
          <t>OCTG.PymntGroup</t>
        </is>
      </c>
      <c r="G343" s="5" t="inlineStr">
        <is>
          <t>เงื่อนไขชำระตั้งต้นของผู้ขาย</t>
        </is>
      </c>
      <c r="H343" s="17" t="inlineStr">
        <is>
          <t>ดึงจาก B1</t>
        </is>
      </c>
      <c r="I343" s="19" t="inlineStr"/>
    </row>
    <row r="344">
      <c r="A344" s="5" t="inlineStr">
        <is>
          <t>Suppliers</t>
        </is>
      </c>
      <c r="B344" s="5" t="inlineStr">
        <is>
          <t>is_active</t>
        </is>
      </c>
      <c r="C344" s="17" t="inlineStr">
        <is>
          <t>BOOLEAN</t>
        </is>
      </c>
      <c r="D344" s="17" t="inlineStr">
        <is>
          <t>บังคับ</t>
        </is>
      </c>
      <c r="E344" s="18" t="inlineStr"/>
      <c r="F344" s="5" t="inlineStr">
        <is>
          <t>TRUE / FALSE</t>
        </is>
      </c>
      <c r="G344" s="5" t="inlineStr">
        <is>
          <t>ยังค้าขายอยู่ไหม</t>
        </is>
      </c>
      <c r="H344" s="17" t="inlineStr">
        <is>
          <t>ดึงจาก B1</t>
        </is>
      </c>
      <c r="I344" s="19" t="inlineStr"/>
    </row>
    <row r="345">
      <c r="A345" s="10" t="inlineStr">
        <is>
          <t>Config / Lookups</t>
        </is>
      </c>
      <c r="B345" s="5" t="inlineStr">
        <is>
          <t>config_key</t>
        </is>
      </c>
      <c r="C345" s="17" t="inlineStr">
        <is>
          <t>TEXT</t>
        </is>
      </c>
      <c r="D345" s="17" t="inlineStr">
        <is>
          <t>บังคับ</t>
        </is>
      </c>
      <c r="E345" s="18" t="inlineStr">
        <is>
          <t>PK</t>
        </is>
      </c>
      <c r="F345" s="5" t="inlineStr">
        <is>
          <t>SLA_DEFAULT_HOURS</t>
        </is>
      </c>
      <c r="G345" s="5" t="inlineStr">
        <is>
          <t>ชื่อค่าตั้งต้น</t>
        </is>
      </c>
      <c r="H345" s="23" t="inlineStr">
        <is>
          <t>คนกรอก</t>
        </is>
      </c>
      <c r="I345" s="19" t="inlineStr"/>
    </row>
    <row r="346">
      <c r="A346" s="5" t="inlineStr">
        <is>
          <t>Config / Lookups</t>
        </is>
      </c>
      <c r="B346" s="5" t="inlineStr">
        <is>
          <t>config_value</t>
        </is>
      </c>
      <c r="C346" s="17" t="inlineStr">
        <is>
          <t>TEXT</t>
        </is>
      </c>
      <c r="D346" s="17" t="inlineStr">
        <is>
          <t>บังคับ</t>
        </is>
      </c>
      <c r="E346" s="18" t="inlineStr"/>
      <c r="F346" s="5" t="inlineStr">
        <is>
          <t>24</t>
        </is>
      </c>
      <c r="G346" s="5" t="inlineStr">
        <is>
          <t>ค่า — แก้ที่แท็บ «ค่าตั้งต้น»</t>
        </is>
      </c>
      <c r="H346" s="23" t="inlineStr">
        <is>
          <t>คนกรอก</t>
        </is>
      </c>
      <c r="I346" s="19" t="inlineStr"/>
    </row>
    <row r="347">
      <c r="A347" s="5" t="inlineStr">
        <is>
          <t>Config / Lookups</t>
        </is>
      </c>
      <c r="B347" s="5" t="inlineStr">
        <is>
          <t>description</t>
        </is>
      </c>
      <c r="C347" s="17" t="inlineStr">
        <is>
          <t>TEXT</t>
        </is>
      </c>
      <c r="D347" s="17" t="inlineStr">
        <is>
          <t>ไม่บังคับ</t>
        </is>
      </c>
      <c r="E347" s="18" t="inlineStr"/>
      <c r="F347" s="5" t="inlineStr"/>
      <c r="G347" s="5" t="inlineStr">
        <is>
          <t>ค่านี้ใช้ทำอะไร</t>
        </is>
      </c>
      <c r="H347" s="23" t="inlineStr">
        <is>
          <t>คนกรอก</t>
        </is>
      </c>
      <c r="I347" s="19" t="inlineStr"/>
    </row>
    <row r="348">
      <c r="A348" s="5" t="inlineStr">
        <is>
          <t>Config / Lookups</t>
        </is>
      </c>
      <c r="B348" s="5" t="inlineStr">
        <is>
          <t>lookup_group</t>
        </is>
      </c>
      <c r="C348" s="17" t="inlineStr">
        <is>
          <t>TEXT</t>
        </is>
      </c>
      <c r="D348" s="17" t="inlineStr">
        <is>
          <t>บังคับ</t>
        </is>
      </c>
      <c r="E348" s="18" t="inlineStr"/>
      <c r="F348" s="5" t="inlineStr">
        <is>
          <t>PAYMENT_METHOD</t>
        </is>
      </c>
      <c r="G348" s="5" t="inlineStr">
        <is>
          <t>กลุ่ม dropdown</t>
        </is>
      </c>
      <c r="H348" s="23" t="inlineStr">
        <is>
          <t>คนกรอก</t>
        </is>
      </c>
      <c r="I348" s="19" t="inlineStr"/>
    </row>
    <row r="349">
      <c r="A349" s="5" t="inlineStr">
        <is>
          <t>Config / Lookups</t>
        </is>
      </c>
      <c r="B349" s="5" t="inlineStr">
        <is>
          <t>code</t>
        </is>
      </c>
      <c r="C349" s="17" t="inlineStr">
        <is>
          <t>TEXT</t>
        </is>
      </c>
      <c r="D349" s="17" t="inlineStr">
        <is>
          <t>บังคับ</t>
        </is>
      </c>
      <c r="E349" s="18" t="inlineStr"/>
      <c r="F349" s="5" t="inlineStr">
        <is>
          <t>TRANSFER</t>
        </is>
      </c>
      <c r="G349" s="5" t="inlineStr">
        <is>
          <t>รหัสค่า</t>
        </is>
      </c>
      <c r="H349" s="23" t="inlineStr">
        <is>
          <t>คนกรอก</t>
        </is>
      </c>
      <c r="I349" s="19" t="inlineStr"/>
    </row>
    <row r="350">
      <c r="A350" s="5" t="inlineStr">
        <is>
          <t>Config / Lookups</t>
        </is>
      </c>
      <c r="B350" s="5" t="inlineStr">
        <is>
          <t>label_th</t>
        </is>
      </c>
      <c r="C350" s="17" t="inlineStr">
        <is>
          <t>TEXT</t>
        </is>
      </c>
      <c r="D350" s="17" t="inlineStr">
        <is>
          <t>บังคับ</t>
        </is>
      </c>
      <c r="E350" s="18" t="inlineStr"/>
      <c r="F350" s="5" t="inlineStr">
        <is>
          <t>โอนเงิน</t>
        </is>
      </c>
      <c r="G350" s="5" t="inlineStr">
        <is>
          <t>ข้อความที่ผู้ใช้เห็น</t>
        </is>
      </c>
      <c r="H350" s="23" t="inlineStr">
        <is>
          <t>คนกรอก</t>
        </is>
      </c>
      <c r="I350" s="19" t="inlineStr"/>
    </row>
    <row r="351">
      <c r="A351" s="5" t="inlineStr">
        <is>
          <t>Config / Lookups</t>
        </is>
      </c>
      <c r="B351" s="5" t="inlineStr">
        <is>
          <t>sort_order</t>
        </is>
      </c>
      <c r="C351" s="17" t="inlineStr">
        <is>
          <t>NUMBER</t>
        </is>
      </c>
      <c r="D351" s="17" t="inlineStr">
        <is>
          <t>ไม่บังคับ</t>
        </is>
      </c>
      <c r="E351" s="18" t="inlineStr"/>
      <c r="F351" s="5" t="inlineStr">
        <is>
          <t>1</t>
        </is>
      </c>
      <c r="G351" s="5" t="inlineStr">
        <is>
          <t>ลำดับใน dropdown</t>
        </is>
      </c>
      <c r="H351" s="23" t="inlineStr">
        <is>
          <t>คนกรอก</t>
        </is>
      </c>
      <c r="I351" s="19" t="inlineStr"/>
    </row>
    <row r="352">
      <c r="A352" s="5" t="inlineStr">
        <is>
          <t>Config / Lookups</t>
        </is>
      </c>
      <c r="B352" s="5" t="inlineStr">
        <is>
          <t>is_active</t>
        </is>
      </c>
      <c r="C352" s="17" t="inlineStr">
        <is>
          <t>BOOLEAN</t>
        </is>
      </c>
      <c r="D352" s="17" t="inlineStr">
        <is>
          <t>บังคับ</t>
        </is>
      </c>
      <c r="E352" s="18" t="inlineStr"/>
      <c r="F352" s="5" t="inlineStr">
        <is>
          <t>TRUE / FALSE</t>
        </is>
      </c>
      <c r="G352" s="5" t="inlineStr">
        <is>
          <t>เปิดใช้อยู่ไหม</t>
        </is>
      </c>
      <c r="H352" s="23" t="inlineStr">
        <is>
          <t>คนกรอก</t>
        </is>
      </c>
      <c r="I352" s="19" t="inlineStr"/>
    </row>
    <row r="353">
      <c r="A353" s="7" t="inlineStr">
        <is>
          <t>Payment_Requests</t>
        </is>
      </c>
      <c r="B353" s="21" t="inlineStr">
        <is>
          <t>request_id</t>
        </is>
      </c>
      <c r="C353" s="20" t="inlineStr">
        <is>
          <t>TEXT</t>
        </is>
      </c>
      <c r="D353" s="20" t="inlineStr">
        <is>
          <t>บังคับ</t>
        </is>
      </c>
      <c r="E353" s="18" t="inlineStr">
        <is>
          <t>PK</t>
        </is>
      </c>
      <c r="F353" s="21" t="inlineStr">
        <is>
          <t>PRQ-26-0031</t>
        </is>
      </c>
      <c r="G353" s="21" t="inlineStr">
        <is>
          <t>เลขคำขอทำจ่าย</t>
        </is>
      </c>
      <c r="H353" s="20" t="inlineStr">
        <is>
          <t>ระบบสร้าง/คำนวณ</t>
        </is>
      </c>
      <c r="I353" s="19" t="inlineStr"/>
    </row>
    <row r="354">
      <c r="A354" s="21" t="inlineStr">
        <is>
          <t>Payment_Requests</t>
        </is>
      </c>
      <c r="B354" s="21" t="inlineStr">
        <is>
          <t>po_no</t>
        </is>
      </c>
      <c r="C354" s="20" t="inlineStr">
        <is>
          <t>TEXT</t>
        </is>
      </c>
      <c r="D354" s="20" t="inlineStr">
        <is>
          <t>บังคับ</t>
        </is>
      </c>
      <c r="E354" s="18" t="inlineStr">
        <is>
          <t>FK</t>
        </is>
      </c>
      <c r="F354" s="21" t="inlineStr">
        <is>
          <t>Purchase_Orders.po_no</t>
        </is>
      </c>
      <c r="G354" s="21" t="inlineStr">
        <is>
          <t>รายการที่ขอจ่าย</t>
        </is>
      </c>
      <c r="H354" s="20" t="inlineStr">
        <is>
          <t>ระบบสร้าง/คำนวณ</t>
        </is>
      </c>
      <c r="I354" s="19" t="inlineStr"/>
    </row>
    <row r="355">
      <c r="A355" s="21" t="inlineStr">
        <is>
          <t>Payment_Requests</t>
        </is>
      </c>
      <c r="B355" s="21" t="inlineStr">
        <is>
          <t>payment_seq</t>
        </is>
      </c>
      <c r="C355" s="20" t="inlineStr">
        <is>
          <t>NUMBER</t>
        </is>
      </c>
      <c r="D355" s="20" t="inlineStr">
        <is>
          <t>บังคับ</t>
        </is>
      </c>
      <c r="E355" s="18" t="inlineStr">
        <is>
          <t>FK</t>
        </is>
      </c>
      <c r="F355" s="21" t="inlineStr">
        <is>
          <t>PO_Payments.seq</t>
        </is>
      </c>
      <c r="G355" s="21" t="inlineStr">
        <is>
          <t>งวดที่ขอ</t>
        </is>
      </c>
      <c r="H355" s="20" t="inlineStr">
        <is>
          <t>ระบบสร้าง/คำนวณ</t>
        </is>
      </c>
      <c r="I355" s="19" t="inlineStr"/>
    </row>
    <row r="356">
      <c r="A356" s="21" t="inlineStr">
        <is>
          <t>Payment_Requests</t>
        </is>
      </c>
      <c r="B356" s="21" t="inlineStr">
        <is>
          <t>amount</t>
        </is>
      </c>
      <c r="C356" s="20" t="inlineStr">
        <is>
          <t>NUMBER</t>
        </is>
      </c>
      <c r="D356" s="20" t="inlineStr">
        <is>
          <t>บังคับ</t>
        </is>
      </c>
      <c r="E356" s="18" t="inlineStr"/>
      <c r="F356" s="21" t="inlineStr">
        <is>
          <t>122500.00</t>
        </is>
      </c>
      <c r="G356" s="21" t="inlineStr">
        <is>
          <t>ยอดเงินที่ต้องจ่าย — ช่องบังคับตามที่ทีมขอ (กฎ S1, S2)</t>
        </is>
      </c>
      <c r="H356" s="23" t="inlineStr">
        <is>
          <t>คนกรอก</t>
        </is>
      </c>
      <c r="I356" s="19" t="inlineStr"/>
    </row>
    <row r="357">
      <c r="A357" s="21" t="inlineStr">
        <is>
          <t>Payment_Requests</t>
        </is>
      </c>
      <c r="B357" s="21" t="inlineStr">
        <is>
          <t>effective_date</t>
        </is>
      </c>
      <c r="C357" s="20" t="inlineStr">
        <is>
          <t>DATE</t>
        </is>
      </c>
      <c r="D357" s="20" t="inlineStr">
        <is>
          <t>บังคับ</t>
        </is>
      </c>
      <c r="E357" s="18" t="inlineStr"/>
      <c r="F357" s="21" t="inlineStr">
        <is>
          <t>26/08/2026</t>
        </is>
      </c>
      <c r="G357" s="21" t="inlineStr">
        <is>
          <t>Effective date — ช่องบังคับตามที่ทีมขอ (กฎ S3, S4) · ลงเป็นวันครบกำหนดของงวดนั้น</t>
        </is>
      </c>
      <c r="H357" s="23" t="inlineStr">
        <is>
          <t>คนกรอก</t>
        </is>
      </c>
      <c r="I357" s="19" t="inlineStr"/>
    </row>
    <row r="358">
      <c r="A358" s="21" t="inlineStr">
        <is>
          <t>Payment_Requests</t>
        </is>
      </c>
      <c r="B358" s="21" t="inlineStr">
        <is>
          <t>stamp_on_doc</t>
        </is>
      </c>
      <c r="C358" s="20" t="inlineStr">
        <is>
          <t>BOOLEAN</t>
        </is>
      </c>
      <c r="D358" s="20" t="inlineStr">
        <is>
          <t>บังคับ</t>
        </is>
      </c>
      <c r="E358" s="18" t="inlineStr"/>
      <c r="F358" s="21" t="inlineStr">
        <is>
          <t>TRUE / FALSE</t>
        </is>
      </c>
      <c r="G358" s="21" t="inlineStr">
        <is>
          <t>ติ๊กให้พิมพ์ข้อความนี้ลงบนเอกสารที่แนบ</t>
        </is>
      </c>
      <c r="H358" s="23" t="inlineStr">
        <is>
          <t>คนกรอก</t>
        </is>
      </c>
      <c r="I358" s="19" t="inlineStr"/>
    </row>
    <row r="359">
      <c r="A359" s="21" t="inlineStr">
        <is>
          <t>Payment_Requests</t>
        </is>
      </c>
      <c r="B359" s="21" t="inlineStr">
        <is>
          <t>stamp_target_doc_id</t>
        </is>
      </c>
      <c r="C359" s="20" t="inlineStr">
        <is>
          <t>UUID</t>
        </is>
      </c>
      <c r="D359" s="20" t="inlineStr">
        <is>
          <t>ไม่บังคับ</t>
        </is>
      </c>
      <c r="E359" s="18" t="inlineStr">
        <is>
          <t>FK</t>
        </is>
      </c>
      <c r="F359" s="21" t="inlineStr">
        <is>
          <t>Documents.doc_id</t>
        </is>
      </c>
      <c r="G359" s="21" t="inlineStr">
        <is>
          <t>เอกสารที่จะประทับ</t>
        </is>
      </c>
      <c r="H359" s="23" t="inlineStr">
        <is>
          <t>คนกรอก</t>
        </is>
      </c>
      <c r="I359" s="19" t="inlineStr"/>
    </row>
    <row r="360">
      <c r="A360" s="21" t="inlineStr">
        <is>
          <t>Payment_Requests</t>
        </is>
      </c>
      <c r="B360" s="21" t="inlineStr">
        <is>
          <t>stamp_text</t>
        </is>
      </c>
      <c r="C360" s="20" t="inlineStr">
        <is>
          <t>TEXT</t>
        </is>
      </c>
      <c r="D360" s="20" t="inlineStr">
        <is>
          <t>ไม่บังคับ</t>
        </is>
      </c>
      <c r="E360" s="18" t="inlineStr"/>
      <c r="F360" s="21" t="inlineStr">
        <is>
          <t>ขออนุมัติทำจ่าย PO-26-0045 ...</t>
        </is>
      </c>
      <c r="G360" s="21" t="inlineStr">
        <is>
          <t>ข้อความที่ผู้ใช้แก้ในโหมดตัวอย่าง — บังคับเมื่อ stamp_on_doc (กฎ S7)</t>
        </is>
      </c>
      <c r="H360" s="23" t="inlineStr">
        <is>
          <t>คนกรอก</t>
        </is>
      </c>
      <c r="I360" s="19" t="inlineStr"/>
    </row>
    <row r="361">
      <c r="A361" s="21" t="inlineStr">
        <is>
          <t>Payment_Requests</t>
        </is>
      </c>
      <c r="B361" s="21" t="inlineStr">
        <is>
          <t>stamp_position</t>
        </is>
      </c>
      <c r="C361" s="20" t="inlineStr">
        <is>
          <t>ENUM</t>
        </is>
      </c>
      <c r="D361" s="20" t="inlineStr">
        <is>
          <t>ไม่บังคับ</t>
        </is>
      </c>
      <c r="E361" s="18" t="inlineStr"/>
      <c r="F361" s="21" t="inlineStr">
        <is>
          <t>TL / TR / BR / CT</t>
        </is>
      </c>
      <c r="G361" s="21" t="inlineStr">
        <is>
          <t>ตำแหน่งบนหน้ากระดาษ</t>
        </is>
      </c>
      <c r="H361" s="23" t="inlineStr">
        <is>
          <t>คนกรอก</t>
        </is>
      </c>
      <c r="I361" s="19" t="inlineStr"/>
    </row>
    <row r="362">
      <c r="A362" s="21" t="inlineStr">
        <is>
          <t>Payment_Requests</t>
        </is>
      </c>
      <c r="B362" s="21" t="inlineStr">
        <is>
          <t>stamp_size_pt</t>
        </is>
      </c>
      <c r="C362" s="20" t="inlineStr">
        <is>
          <t>NUMBER</t>
        </is>
      </c>
      <c r="D362" s="20" t="inlineStr">
        <is>
          <t>ไม่บังคับ</t>
        </is>
      </c>
      <c r="E362" s="18" t="inlineStr"/>
      <c r="F362" s="21" t="inlineStr">
        <is>
          <t>11 / 13 / 16</t>
        </is>
      </c>
      <c r="G362" s="21" t="inlineStr">
        <is>
          <t>ขนาดตัวอักษร</t>
        </is>
      </c>
      <c r="H362" s="23" t="inlineStr">
        <is>
          <t>คนกรอก</t>
        </is>
      </c>
      <c r="I362" s="19" t="inlineStr"/>
    </row>
    <row r="363">
      <c r="A363" s="21" t="inlineStr">
        <is>
          <t>Payment_Requests</t>
        </is>
      </c>
      <c r="B363" s="21" t="inlineStr">
        <is>
          <t>stamp_color</t>
        </is>
      </c>
      <c r="C363" s="20" t="inlineStr">
        <is>
          <t>TEXT</t>
        </is>
      </c>
      <c r="D363" s="20" t="inlineStr">
        <is>
          <t>ไม่บังคับ</t>
        </is>
      </c>
      <c r="E363" s="18" t="inlineStr"/>
      <c r="F363" s="21" t="inlineStr">
        <is>
          <t>ดำ / แดง / เทาจาง</t>
        </is>
      </c>
      <c r="G363" s="21" t="inlineStr">
        <is>
          <t>สีข้อความ</t>
        </is>
      </c>
      <c r="H363" s="23" t="inlineStr">
        <is>
          <t>คนกรอก</t>
        </is>
      </c>
      <c r="I363" s="19" t="inlineStr"/>
    </row>
    <row r="364">
      <c r="A364" s="21" t="inlineStr">
        <is>
          <t>Payment_Requests</t>
        </is>
      </c>
      <c r="B364" s="21" t="inlineStr">
        <is>
          <t>requested_by</t>
        </is>
      </c>
      <c r="C364" s="20" t="inlineStr">
        <is>
          <t>TEXT</t>
        </is>
      </c>
      <c r="D364" s="20" t="inlineStr">
        <is>
          <t>บังคับ</t>
        </is>
      </c>
      <c r="E364" s="18" t="inlineStr">
        <is>
          <t>FK</t>
        </is>
      </c>
      <c r="F364" s="21" t="inlineStr">
        <is>
          <t>Users.email</t>
        </is>
      </c>
      <c r="G364" s="21" t="inlineStr">
        <is>
          <t>ผู้ขอ (จัดซื้อ)</t>
        </is>
      </c>
      <c r="H364" s="20" t="inlineStr">
        <is>
          <t>ระบบสร้าง/คำนวณ</t>
        </is>
      </c>
      <c r="I364" s="19" t="inlineStr"/>
    </row>
    <row r="365">
      <c r="A365" s="21" t="inlineStr">
        <is>
          <t>Payment_Requests</t>
        </is>
      </c>
      <c r="B365" s="21" t="inlineStr">
        <is>
          <t>requested_at</t>
        </is>
      </c>
      <c r="C365" s="20" t="inlineStr">
        <is>
          <t>DATETIME</t>
        </is>
      </c>
      <c r="D365" s="20" t="inlineStr">
        <is>
          <t>บังคับ</t>
        </is>
      </c>
      <c r="E365" s="18" t="inlineStr"/>
      <c r="F365" s="21" t="inlineStr"/>
      <c r="G365" s="21" t="inlineStr">
        <is>
          <t>เวลาที่ส่งคำขอ</t>
        </is>
      </c>
      <c r="H365" s="20" t="inlineStr">
        <is>
          <t>ระบบสร้าง/คำนวณ</t>
        </is>
      </c>
      <c r="I365" s="19" t="inlineStr"/>
    </row>
    <row r="366">
      <c r="A366" s="21" t="inlineStr">
        <is>
          <t>Payment_Requests</t>
        </is>
      </c>
      <c r="B366" s="21" t="inlineStr">
        <is>
          <t>approver_role</t>
        </is>
      </c>
      <c r="C366" s="20" t="inlineStr">
        <is>
          <t>ENUM</t>
        </is>
      </c>
      <c r="D366" s="20" t="inlineStr">
        <is>
          <t>บังคับ</t>
        </is>
      </c>
      <c r="E366" s="18" t="inlineStr"/>
      <c r="F366" s="21" t="inlineStr">
        <is>
          <t>AC_HEAD / GM</t>
        </is>
      </c>
      <c r="G366" s="21" t="inlineStr">
        <is>
          <t>เลือกอัตโนมัติจากวงเงิน APPROVAL_LIMIT</t>
        </is>
      </c>
      <c r="H366" s="20" t="inlineStr">
        <is>
          <t>ระบบสร้าง/คำนวณ</t>
        </is>
      </c>
      <c r="I366" s="19" t="inlineStr"/>
    </row>
    <row r="367">
      <c r="A367" s="21" t="inlineStr">
        <is>
          <t>Payment_Requests</t>
        </is>
      </c>
      <c r="B367" s="21" t="inlineStr">
        <is>
          <t>decision</t>
        </is>
      </c>
      <c r="C367" s="20" t="inlineStr">
        <is>
          <t>ENUM</t>
        </is>
      </c>
      <c r="D367" s="20" t="inlineStr">
        <is>
          <t>บังคับ</t>
        </is>
      </c>
      <c r="E367" s="18" t="inlineStr"/>
      <c r="F367" s="21" t="inlineStr">
        <is>
          <t>PENDING / APPROVED / REJECTED</t>
        </is>
      </c>
      <c r="G367" s="21" t="inlineStr">
        <is>
          <t>ผลการอนุมัติ</t>
        </is>
      </c>
      <c r="H367" s="20" t="inlineStr">
        <is>
          <t>ระบบสร้าง/คำนวณ</t>
        </is>
      </c>
      <c r="I367" s="19" t="inlineStr"/>
    </row>
    <row r="368">
      <c r="A368" s="21" t="inlineStr">
        <is>
          <t>Payment_Requests</t>
        </is>
      </c>
      <c r="B368" s="21" t="inlineStr">
        <is>
          <t>decided_by</t>
        </is>
      </c>
      <c r="C368" s="20" t="inlineStr">
        <is>
          <t>TEXT</t>
        </is>
      </c>
      <c r="D368" s="20" t="inlineStr">
        <is>
          <t>ไม่บังคับ</t>
        </is>
      </c>
      <c r="E368" s="18" t="inlineStr">
        <is>
          <t>FK</t>
        </is>
      </c>
      <c r="F368" s="21" t="inlineStr">
        <is>
          <t>Users.email</t>
        </is>
      </c>
      <c r="G368" s="21" t="inlineStr">
        <is>
          <t>ผู้ตัดสิน — ระบบบล็อกถ้าเป็นคนเดียวกับ requested_by</t>
        </is>
      </c>
      <c r="H368" s="20" t="inlineStr">
        <is>
          <t>ระบบสร้าง/คำนวณ</t>
        </is>
      </c>
      <c r="I368" s="19" t="inlineStr"/>
    </row>
    <row r="369">
      <c r="A369" s="21" t="inlineStr">
        <is>
          <t>Payment_Requests</t>
        </is>
      </c>
      <c r="B369" s="21" t="inlineStr">
        <is>
          <t>decided_at</t>
        </is>
      </c>
      <c r="C369" s="20" t="inlineStr">
        <is>
          <t>DATETIME</t>
        </is>
      </c>
      <c r="D369" s="20" t="inlineStr">
        <is>
          <t>ไม่บังคับ</t>
        </is>
      </c>
      <c r="E369" s="18" t="inlineStr"/>
      <c r="F369" s="21" t="inlineStr"/>
      <c r="G369" s="21" t="inlineStr">
        <is>
          <t>เวลาที่ตัดสิน</t>
        </is>
      </c>
      <c r="H369" s="20" t="inlineStr">
        <is>
          <t>ระบบสร้าง/คำนวณ</t>
        </is>
      </c>
      <c r="I369" s="19" t="inlineStr"/>
    </row>
    <row r="370">
      <c r="A370" s="21" t="inlineStr">
        <is>
          <t>Payment_Requests</t>
        </is>
      </c>
      <c r="B370" s="21" t="inlineStr">
        <is>
          <t>reject_reason</t>
        </is>
      </c>
      <c r="C370" s="20" t="inlineStr">
        <is>
          <t>TEXT</t>
        </is>
      </c>
      <c r="D370" s="20" t="inlineStr">
        <is>
          <t>ไม่บังคับ</t>
        </is>
      </c>
      <c r="E370" s="18" t="inlineStr"/>
      <c r="F370" s="21" t="inlineStr"/>
      <c r="G370" s="21" t="inlineStr">
        <is>
          <t>บังคับเมื่อ decision = REJECTED</t>
        </is>
      </c>
      <c r="H370" s="23" t="inlineStr">
        <is>
          <t>คนกรอก</t>
        </is>
      </c>
      <c r="I370" s="19" t="inlineStr"/>
    </row>
    <row r="371">
      <c r="A371" s="21" t="inlineStr">
        <is>
          <t>Payment_Requests</t>
        </is>
      </c>
      <c r="B371" s="21" t="inlineStr">
        <is>
          <t>attached_doc_ids</t>
        </is>
      </c>
      <c r="C371" s="20" t="inlineStr">
        <is>
          <t>TEXT</t>
        </is>
      </c>
      <c r="D371" s="20" t="inlineStr">
        <is>
          <t>ไม่บังคับ</t>
        </is>
      </c>
      <c r="E371" s="18" t="inlineStr"/>
      <c r="F371" s="21" t="inlineStr">
        <is>
          <t>doc1,doc2,doc3</t>
        </is>
      </c>
      <c r="G371" s="21" t="inlineStr">
        <is>
          <t>เอกสารครบชุดที่แนบไปกับคำขออัตโนมัติ</t>
        </is>
      </c>
      <c r="H371" s="20" t="inlineStr">
        <is>
          <t>ระบบสร้าง/คำนวณ</t>
        </is>
      </c>
      <c r="I371" s="19" t="inlineStr"/>
    </row>
    <row r="372">
      <c r="A372" s="21" t="inlineStr">
        <is>
          <t>Payment_Requests</t>
        </is>
      </c>
      <c r="B372" s="21" t="inlineStr">
        <is>
          <t>idempotency_key</t>
        </is>
      </c>
      <c r="C372" s="20" t="inlineStr">
        <is>
          <t>TEXT</t>
        </is>
      </c>
      <c r="D372" s="20" t="inlineStr">
        <is>
          <t>บังคับ</t>
        </is>
      </c>
      <c r="E372" s="18" t="inlineStr">
        <is>
          <t>UQ</t>
        </is>
      </c>
      <c r="F372" s="21" t="inlineStr"/>
      <c r="G372" s="21" t="inlineStr">
        <is>
          <t>กันกดส่งซ้ำแล้วเกิดคำขอซ้ำ</t>
        </is>
      </c>
      <c r="H372" s="20" t="inlineStr">
        <is>
          <t>ระบบสร้าง/คำนวณ</t>
        </is>
      </c>
      <c r="I372" s="19" t="inlineStr"/>
    </row>
    <row r="373">
      <c r="A373" s="21" t="inlineStr">
        <is>
          <t>Payment_Requests</t>
        </is>
      </c>
      <c r="B373" s="21" t="inlineStr">
        <is>
          <t>row_version</t>
        </is>
      </c>
      <c r="C373" s="20" t="inlineStr">
        <is>
          <t>NUMBER</t>
        </is>
      </c>
      <c r="D373" s="20" t="inlineStr">
        <is>
          <t>บังคับ</t>
        </is>
      </c>
      <c r="E373" s="18" t="inlineStr"/>
      <c r="F373" s="21" t="inlineStr">
        <is>
          <t>1, 2, 3...</t>
        </is>
      </c>
      <c r="G373" s="21" t="inlineStr">
        <is>
          <t>กันสองคนแก้ทับกันเงียบ ๆ</t>
        </is>
      </c>
      <c r="H373" s="20" t="inlineStr">
        <is>
          <t>ระบบสร้าง/คำนวณ</t>
        </is>
      </c>
      <c r="I373" s="19" t="inlineStr"/>
    </row>
    <row r="374">
      <c r="A374" s="7" t="inlineStr">
        <is>
          <t>Doc_Bundles</t>
        </is>
      </c>
      <c r="B374" s="21" t="inlineStr">
        <is>
          <t>bundle_id</t>
        </is>
      </c>
      <c r="C374" s="20" t="inlineStr">
        <is>
          <t>UUID</t>
        </is>
      </c>
      <c r="D374" s="20" t="inlineStr">
        <is>
          <t>บังคับ</t>
        </is>
      </c>
      <c r="E374" s="18" t="inlineStr">
        <is>
          <t>PK</t>
        </is>
      </c>
      <c r="F374" s="21" t="inlineStr"/>
      <c r="G374" s="21" t="inlineStr">
        <is>
          <t>คีย์ภายใน</t>
        </is>
      </c>
      <c r="H374" s="20" t="inlineStr">
        <is>
          <t>ระบบสร้าง/คำนวณ</t>
        </is>
      </c>
      <c r="I374" s="19" t="inlineStr"/>
    </row>
    <row r="375">
      <c r="A375" s="21" t="inlineStr">
        <is>
          <t>Doc_Bundles</t>
        </is>
      </c>
      <c r="B375" s="21" t="inlineStr">
        <is>
          <t>po_no</t>
        </is>
      </c>
      <c r="C375" s="20" t="inlineStr">
        <is>
          <t>TEXT</t>
        </is>
      </c>
      <c r="D375" s="20" t="inlineStr">
        <is>
          <t>บังคับ</t>
        </is>
      </c>
      <c r="E375" s="18" t="inlineStr">
        <is>
          <t>FK</t>
        </is>
      </c>
      <c r="F375" s="21" t="inlineStr">
        <is>
          <t>Purchase_Orders.po_no</t>
        </is>
      </c>
      <c r="G375" s="21" t="inlineStr">
        <is>
          <t>1 รายการ = 1 ชุด</t>
        </is>
      </c>
      <c r="H375" s="20" t="inlineStr">
        <is>
          <t>ระบบสร้าง/คำนวณ</t>
        </is>
      </c>
      <c r="I375" s="19" t="inlineStr"/>
    </row>
    <row r="376">
      <c r="A376" s="21" t="inlineStr">
        <is>
          <t>Doc_Bundles</t>
        </is>
      </c>
      <c r="B376" s="21" t="inlineStr">
        <is>
          <t>doc_id</t>
        </is>
      </c>
      <c r="C376" s="20" t="inlineStr">
        <is>
          <t>UUID</t>
        </is>
      </c>
      <c r="D376" s="20" t="inlineStr">
        <is>
          <t>บังคับ</t>
        </is>
      </c>
      <c r="E376" s="18" t="inlineStr">
        <is>
          <t>FK</t>
        </is>
      </c>
      <c r="F376" s="21" t="inlineStr">
        <is>
          <t>Documents.doc_id</t>
        </is>
      </c>
      <c r="G376" s="21" t="inlineStr">
        <is>
          <t>ไฟล์รวมที่สร้างขึ้น</t>
        </is>
      </c>
      <c r="H376" s="20" t="inlineStr">
        <is>
          <t>ระบบสร้าง/คำนวณ</t>
        </is>
      </c>
      <c r="I376" s="19" t="inlineStr"/>
    </row>
    <row r="377">
      <c r="A377" s="21" t="inlineStr">
        <is>
          <t>Doc_Bundles</t>
        </is>
      </c>
      <c r="B377" s="21" t="inlineStr">
        <is>
          <t>parts_json</t>
        </is>
      </c>
      <c r="C377" s="20" t="inlineStr">
        <is>
          <t>TEXT</t>
        </is>
      </c>
      <c r="D377" s="20" t="inlineStr">
        <is>
          <t>บังคับ</t>
        </is>
      </c>
      <c r="E377" s="18" t="inlineStr"/>
      <c r="F377" s="21" t="inlineStr">
        <is>
          <t>["PI","PO_SIGNED","QC_RC",...]</t>
        </is>
      </c>
      <c r="G377" s="21" t="inlineStr">
        <is>
          <t>รายชื่อไฟล์ที่รวม เรียงตามลำดับจริง</t>
        </is>
      </c>
      <c r="H377" s="20" t="inlineStr">
        <is>
          <t>ระบบสร้าง/คำนวณ</t>
        </is>
      </c>
      <c r="I377" s="19" t="inlineStr"/>
    </row>
    <row r="378">
      <c r="A378" s="21" t="inlineStr">
        <is>
          <t>Doc_Bundles</t>
        </is>
      </c>
      <c r="B378" s="21" t="inlineStr">
        <is>
          <t>page_count</t>
        </is>
      </c>
      <c r="C378" s="20" t="inlineStr">
        <is>
          <t>NUMBER</t>
        </is>
      </c>
      <c r="D378" s="20" t="inlineStr">
        <is>
          <t>บังคับ</t>
        </is>
      </c>
      <c r="E378" s="18" t="inlineStr"/>
      <c r="F378" s="21" t="inlineStr">
        <is>
          <t>14</t>
        </is>
      </c>
      <c r="G378" s="21" t="inlineStr">
        <is>
          <t>จำนวนหน้าของไฟล์รวม</t>
        </is>
      </c>
      <c r="H378" s="20" t="inlineStr">
        <is>
          <t>ระบบสร้าง/คำนวณ</t>
        </is>
      </c>
      <c r="I378" s="19" t="inlineStr"/>
    </row>
    <row r="379">
      <c r="A379" s="21" t="inlineStr">
        <is>
          <t>Doc_Bundles</t>
        </is>
      </c>
      <c r="B379" s="21" t="inlineStr">
        <is>
          <t>size_kb</t>
        </is>
      </c>
      <c r="C379" s="20" t="inlineStr">
        <is>
          <t>NUMBER</t>
        </is>
      </c>
      <c r="D379" s="20" t="inlineStr">
        <is>
          <t>บังคับ</t>
        </is>
      </c>
      <c r="E379" s="18" t="inlineStr"/>
      <c r="F379" s="21" t="inlineStr">
        <is>
          <t>2240</t>
        </is>
      </c>
      <c r="G379" s="21" t="inlineStr">
        <is>
          <t>ใช้ติดตามพื้นที่ที่ใช้เพิ่ม</t>
        </is>
      </c>
      <c r="H379" s="20" t="inlineStr">
        <is>
          <t>ระบบสร้าง/คำนวณ</t>
        </is>
      </c>
      <c r="I379" s="19" t="inlineStr"/>
    </row>
    <row r="380">
      <c r="A380" s="21" t="inlineStr">
        <is>
          <t>Doc_Bundles</t>
        </is>
      </c>
      <c r="B380" s="21" t="inlineStr">
        <is>
          <t>built_at</t>
        </is>
      </c>
      <c r="C380" s="20" t="inlineStr">
        <is>
          <t>DATETIME</t>
        </is>
      </c>
      <c r="D380" s="20" t="inlineStr">
        <is>
          <t>บังคับ</t>
        </is>
      </c>
      <c r="E380" s="18" t="inlineStr"/>
      <c r="F380" s="21" t="inlineStr"/>
      <c r="G380" s="21" t="inlineStr">
        <is>
          <t>เวลาที่รวมเสร็จ</t>
        </is>
      </c>
      <c r="H380" s="20" t="inlineStr">
        <is>
          <t>ระบบสร้าง/คำนวณ</t>
        </is>
      </c>
      <c r="I380" s="19" t="inlineStr"/>
    </row>
    <row r="381">
      <c r="A381" s="21" t="inlineStr">
        <is>
          <t>Doc_Bundles</t>
        </is>
      </c>
      <c r="B381" s="21" t="inlineStr">
        <is>
          <t>build_status</t>
        </is>
      </c>
      <c r="C381" s="20" t="inlineStr">
        <is>
          <t>ENUM</t>
        </is>
      </c>
      <c r="D381" s="20" t="inlineStr">
        <is>
          <t>บังคับ</t>
        </is>
      </c>
      <c r="E381" s="18" t="inlineStr"/>
      <c r="F381" s="21" t="inlineStr">
        <is>
          <t>OK / PARTIAL / FAILED</t>
        </is>
      </c>
      <c r="G381" s="21" t="inlineStr">
        <is>
          <t>PARTIAL = มีไฟล์แปลงเป็นหน้า PDF ไม่ได้ ต้องแจ้ง IT</t>
        </is>
      </c>
      <c r="H381" s="20" t="inlineStr">
        <is>
          <t>ระบบสร้าง/คำนวณ</t>
        </is>
      </c>
      <c r="I381" s="19" t="inlineStr"/>
    </row>
    <row r="382">
      <c r="A382" s="21" t="inlineStr">
        <is>
          <t>Doc_Bundles</t>
        </is>
      </c>
      <c r="B382" s="21" t="inlineStr">
        <is>
          <t>failed_parts_json</t>
        </is>
      </c>
      <c r="C382" s="20" t="inlineStr">
        <is>
          <t>TEXT</t>
        </is>
      </c>
      <c r="D382" s="20" t="inlineStr">
        <is>
          <t>ไม่บังคับ</t>
        </is>
      </c>
      <c r="E382" s="18" t="inlineStr"/>
      <c r="F382" s="21" t="inlineStr"/>
      <c r="G382" s="21" t="inlineStr">
        <is>
          <t>ใบที่รวมไม่สำเร็จ</t>
        </is>
      </c>
      <c r="H382" s="20" t="inlineStr">
        <is>
          <t>ระบบสร้าง/คำนวณ</t>
        </is>
      </c>
      <c r="I382" s="19" t="inlineStr"/>
    </row>
    <row r="383">
      <c r="A383" s="21" t="inlineStr">
        <is>
          <t>Doc_Bundles</t>
        </is>
      </c>
      <c r="B383" s="21" t="inlineStr">
        <is>
          <t>purge_scheduled_at</t>
        </is>
      </c>
      <c r="C383" s="20" t="inlineStr">
        <is>
          <t>DATE</t>
        </is>
      </c>
      <c r="D383" s="20" t="inlineStr">
        <is>
          <t>ไม่บังคับ</t>
        </is>
      </c>
      <c r="E383" s="18" t="inlineStr"/>
      <c r="F383" s="21" t="inlineStr"/>
      <c r="G383" s="21" t="inlineStr">
        <is>
          <t>วันที่จะลบต้นฉบับที่รวมแล้ว</t>
        </is>
      </c>
      <c r="H383" s="20" t="inlineStr">
        <is>
          <t>ระบบสร้าง/คำนวณ</t>
        </is>
      </c>
      <c r="I383" s="19" t="inlineStr"/>
    </row>
    <row r="384">
      <c r="A384" s="10" t="inlineStr">
        <is>
          <t>Sync_Log</t>
        </is>
      </c>
      <c r="B384" s="5" t="inlineStr">
        <is>
          <t>sync_id</t>
        </is>
      </c>
      <c r="C384" s="17" t="inlineStr">
        <is>
          <t>UUID</t>
        </is>
      </c>
      <c r="D384" s="17" t="inlineStr">
        <is>
          <t>บังคับ</t>
        </is>
      </c>
      <c r="E384" s="18" t="inlineStr">
        <is>
          <t>PK</t>
        </is>
      </c>
      <c r="F384" s="5" t="inlineStr"/>
      <c r="G384" s="5" t="inlineStr">
        <is>
          <t>คีย์ภายใน</t>
        </is>
      </c>
      <c r="H384" s="17" t="inlineStr">
        <is>
          <t>ระบบสร้าง/คำนวณ</t>
        </is>
      </c>
      <c r="I384" s="19" t="inlineStr"/>
    </row>
    <row r="385">
      <c r="A385" s="5" t="inlineStr">
        <is>
          <t>Sync_Log</t>
        </is>
      </c>
      <c r="B385" s="5" t="inlineStr">
        <is>
          <t>object</t>
        </is>
      </c>
      <c r="C385" s="17" t="inlineStr">
        <is>
          <t>ENUM</t>
        </is>
      </c>
      <c r="D385" s="17" t="inlineStr">
        <is>
          <t>บังคับ</t>
        </is>
      </c>
      <c r="E385" s="18" t="inlineStr"/>
      <c r="F385" s="5" t="inlineStr">
        <is>
          <t>PO / BP / ITEM / GRPO / APINV / PAYMENT / TERMS</t>
        </is>
      </c>
      <c r="G385" s="5" t="inlineStr">
        <is>
          <t>ดึงข้อมูลอะไร</t>
        </is>
      </c>
      <c r="H385" s="17" t="inlineStr">
        <is>
          <t>ระบบสร้าง/คำนวณ</t>
        </is>
      </c>
      <c r="I385" s="19" t="inlineStr"/>
    </row>
    <row r="386">
      <c r="A386" s="5" t="inlineStr">
        <is>
          <t>Sync_Log</t>
        </is>
      </c>
      <c r="B386" s="5" t="inlineStr">
        <is>
          <t>started_at</t>
        </is>
      </c>
      <c r="C386" s="17" t="inlineStr">
        <is>
          <t>DATETIME</t>
        </is>
      </c>
      <c r="D386" s="17" t="inlineStr">
        <is>
          <t>บังคับ</t>
        </is>
      </c>
      <c r="E386" s="18" t="inlineStr"/>
      <c r="F386" s="5" t="inlineStr"/>
      <c r="G386" s="5" t="inlineStr">
        <is>
          <t>เริ่มรอบเมื่อไหร่</t>
        </is>
      </c>
      <c r="H386" s="17" t="inlineStr">
        <is>
          <t>ระบบสร้าง/คำนวณ</t>
        </is>
      </c>
      <c r="I386" s="19" t="inlineStr"/>
    </row>
    <row r="387">
      <c r="A387" s="5" t="inlineStr">
        <is>
          <t>Sync_Log</t>
        </is>
      </c>
      <c r="B387" s="5" t="inlineStr">
        <is>
          <t>finished_at</t>
        </is>
      </c>
      <c r="C387" s="17" t="inlineStr">
        <is>
          <t>DATETIME</t>
        </is>
      </c>
      <c r="D387" s="17" t="inlineStr">
        <is>
          <t>ไม่บังคับ</t>
        </is>
      </c>
      <c r="E387" s="18" t="inlineStr"/>
      <c r="F387" s="5" t="inlineStr"/>
      <c r="G387" s="5" t="inlineStr">
        <is>
          <t>จบรอบเมื่อไหร่</t>
        </is>
      </c>
      <c r="H387" s="17" t="inlineStr">
        <is>
          <t>ระบบสร้าง/คำนวณ</t>
        </is>
      </c>
      <c r="I387" s="19" t="inlineStr"/>
    </row>
    <row r="388">
      <c r="A388" s="5" t="inlineStr">
        <is>
          <t>Sync_Log</t>
        </is>
      </c>
      <c r="B388" s="5" t="inlineStr">
        <is>
          <t>source_file</t>
        </is>
      </c>
      <c r="C388" s="17" t="inlineStr">
        <is>
          <t>TEXT</t>
        </is>
      </c>
      <c r="D388" s="17" t="inlineStr">
        <is>
          <t>ไม่บังคับ</t>
        </is>
      </c>
      <c r="E388" s="18" t="inlineStr"/>
      <c r="F388" s="5" t="inlineStr">
        <is>
          <t>PO_20260803_0830.json</t>
        </is>
      </c>
      <c r="G388" s="5" t="inlineStr">
        <is>
          <t>ไฟล์ที่ตัวส่งวางไว้</t>
        </is>
      </c>
      <c r="H388" s="17" t="inlineStr">
        <is>
          <t>ระบบสร้าง/คำนวณ</t>
        </is>
      </c>
      <c r="I388" s="19" t="inlineStr"/>
    </row>
    <row r="389">
      <c r="A389" s="5" t="inlineStr">
        <is>
          <t>Sync_Log</t>
        </is>
      </c>
      <c r="B389" s="5" t="inlineStr">
        <is>
          <t>rows_read</t>
        </is>
      </c>
      <c r="C389" s="17" t="inlineStr">
        <is>
          <t>NUMBER</t>
        </is>
      </c>
      <c r="D389" s="17" t="inlineStr">
        <is>
          <t>บังคับ</t>
        </is>
      </c>
      <c r="E389" s="18" t="inlineStr"/>
      <c r="F389" s="5" t="inlineStr"/>
      <c r="G389" s="5" t="inlineStr">
        <is>
          <t>อ่านมากี่แถว</t>
        </is>
      </c>
      <c r="H389" s="17" t="inlineStr">
        <is>
          <t>ระบบสร้าง/คำนวณ</t>
        </is>
      </c>
      <c r="I389" s="19" t="inlineStr"/>
    </row>
    <row r="390">
      <c r="A390" s="5" t="inlineStr">
        <is>
          <t>Sync_Log</t>
        </is>
      </c>
      <c r="B390" s="5" t="inlineStr">
        <is>
          <t>rows_upserted</t>
        </is>
      </c>
      <c r="C390" s="17" t="inlineStr">
        <is>
          <t>NUMBER</t>
        </is>
      </c>
      <c r="D390" s="17" t="inlineStr">
        <is>
          <t>บังคับ</t>
        </is>
      </c>
      <c r="E390" s="18" t="inlineStr"/>
      <c r="F390" s="5" t="inlineStr"/>
      <c r="G390" s="5" t="inlineStr">
        <is>
          <t>เขียนลงระบบกี่แถว</t>
        </is>
      </c>
      <c r="H390" s="17" t="inlineStr">
        <is>
          <t>ระบบสร้าง/คำนวณ</t>
        </is>
      </c>
      <c r="I390" s="19" t="inlineStr"/>
    </row>
    <row r="391">
      <c r="A391" s="5" t="inlineStr">
        <is>
          <t>Sync_Log</t>
        </is>
      </c>
      <c r="B391" s="5" t="inlineStr">
        <is>
          <t>rows_rejected</t>
        </is>
      </c>
      <c r="C391" s="17" t="inlineStr">
        <is>
          <t>NUMBER</t>
        </is>
      </c>
      <c r="D391" s="17" t="inlineStr">
        <is>
          <t>บังคับ</t>
        </is>
      </c>
      <c r="E391" s="18" t="inlineStr"/>
      <c r="F391" s="5" t="inlineStr"/>
      <c r="G391" s="5" t="inlineStr">
        <is>
          <t>ตกไปกี่แถว</t>
        </is>
      </c>
      <c r="H391" s="17" t="inlineStr">
        <is>
          <t>ระบบสร้าง/คำนวณ</t>
        </is>
      </c>
      <c r="I391" s="19" t="inlineStr"/>
    </row>
    <row r="392">
      <c r="A392" s="5" t="inlineStr">
        <is>
          <t>Sync_Log</t>
        </is>
      </c>
      <c r="B392" s="5" t="inlineStr">
        <is>
          <t>status</t>
        </is>
      </c>
      <c r="C392" s="17" t="inlineStr">
        <is>
          <t>ENUM</t>
        </is>
      </c>
      <c r="D392" s="17" t="inlineStr">
        <is>
          <t>บังคับ</t>
        </is>
      </c>
      <c r="E392" s="18" t="inlineStr"/>
      <c r="F392" s="5" t="inlineStr">
        <is>
          <t>OK / PARTIAL / FAILED / SKIPPED</t>
        </is>
      </c>
      <c r="G392" s="5" t="inlineStr">
        <is>
          <t>ผลของรอบนั้น</t>
        </is>
      </c>
      <c r="H392" s="17" t="inlineStr">
        <is>
          <t>ระบบสร้าง/คำนวณ</t>
        </is>
      </c>
      <c r="I392" s="19" t="inlineStr"/>
    </row>
    <row r="393">
      <c r="A393" s="5" t="inlineStr">
        <is>
          <t>Sync_Log</t>
        </is>
      </c>
      <c r="B393" s="5" t="inlineStr">
        <is>
          <t>error_msg</t>
        </is>
      </c>
      <c r="C393" s="17" t="inlineStr">
        <is>
          <t>TEXT</t>
        </is>
      </c>
      <c r="D393" s="17" t="inlineStr">
        <is>
          <t>ไม่บังคับ</t>
        </is>
      </c>
      <c r="E393" s="18" t="inlineStr"/>
      <c r="F393" s="5" t="inlineStr"/>
      <c r="G393" s="5" t="inlineStr">
        <is>
          <t>ข้อผิดพลาด</t>
        </is>
      </c>
      <c r="H393" s="17" t="inlineStr">
        <is>
          <t>ระบบสร้าง/คำนวณ</t>
        </is>
      </c>
      <c r="I393" s="19" t="inlineStr"/>
    </row>
    <row r="394">
      <c r="A394" s="5" t="inlineStr">
        <is>
          <t>Sync_Log</t>
        </is>
      </c>
      <c r="B394" s="5" t="inlineStr">
        <is>
          <t>watermark</t>
        </is>
      </c>
      <c r="C394" s="17" t="inlineStr">
        <is>
          <t>DATETIME</t>
        </is>
      </c>
      <c r="D394" s="17" t="inlineStr">
        <is>
          <t>บังคับ</t>
        </is>
      </c>
      <c r="E394" s="18" t="inlineStr"/>
      <c r="F394" s="5" t="inlineStr"/>
      <c r="G394" s="5" t="inlineStr">
        <is>
          <t>ดึงถึงเวลาไหนแล้ว — รอบถัดไปเริ่มจากตรงนี้</t>
        </is>
      </c>
      <c r="H394" s="17" t="inlineStr">
        <is>
          <t>ระบบสร้าง/คำนวณ</t>
        </is>
      </c>
      <c r="I394" s="19" t="inlineStr"/>
    </row>
  </sheetData>
  <autoFilter ref="A4:I394"/>
  <mergeCells count="2">
    <mergeCell ref="A1:I1"/>
    <mergeCell ref="A2:I2"/>
  </mergeCells>
  <dataValidations count="3">
    <dataValidation sqref="C5:C394" showDropDown="0" showInputMessage="0" showErrorMessage="0" allowBlank="1" type="list">
      <formula1>'รายการเลือก (ระบบ)'!$A$2:$A$10</formula1>
    </dataValidation>
    <dataValidation sqref="D5:D394" showDropDown="0" showInputMessage="0" showErrorMessage="0" allowBlank="1" type="list">
      <formula1>'รายการเลือก (ระบบ)'!$B$2:$B$3</formula1>
    </dataValidation>
    <dataValidation sqref="H5:H394" showDropDown="0" showInputMessage="0" showErrorMessage="0" allowBlank="1" type="list">
      <formula1>'รายการเลือก (ระบบ)'!$C$2:$C$5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D33"/>
    <outlinePr summaryBelow="1" summaryRight="1"/>
    <pageSetUpPr/>
  </sheetPr>
  <dimension ref="A1: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2" customWidth="1" min="4" max="4"/>
    <col width="10" customWidth="1" min="5" max="5"/>
    <col width="14" customWidth="1" min="6" max="6"/>
    <col width="30" customWidth="1" min="7" max="7"/>
    <col width="20" customWidth="1" min="8" max="8"/>
    <col width="34" customWidth="1" min="9" max="9"/>
  </cols>
  <sheetData>
    <row r="1" ht="26" customHeight="1">
      <c r="A1" s="1" t="inlineStr">
        <is>
          <t>ขั้นตอนงาน (Stage_Templates) — module DOMESTIC_FOOD</t>
        </is>
      </c>
    </row>
    <row r="2" ht="30" customHeight="1">
      <c r="A2" s="2" t="inlineStr">
        <is>
          <t>SLA แก้ได้ที่คอลัมน์เหลือง · เพิ่มงานนำเข้า/Solar ในอนาคต = เพิ่มแถว ไม่ต้องแก้โปรแกรม</t>
        </is>
      </c>
    </row>
    <row r="4" ht="30" customHeight="1">
      <c r="A4" s="16" t="inlineStr">
        <is>
          <t>ลำดับ</t>
        </is>
      </c>
      <c r="B4" s="16" t="inlineStr">
        <is>
          <t>รหัสขั้น</t>
        </is>
      </c>
      <c r="C4" s="16" t="inlineStr">
        <is>
          <t>ชื่อขั้น (ที่ผู้ใช้เห็น)</t>
        </is>
      </c>
      <c r="D4" s="16" t="inlineStr">
        <is>
          <t>แผนกเจ้าของ</t>
        </is>
      </c>
      <c r="E4" s="16" t="inlineStr">
        <is>
          <t>เฟส</t>
        </is>
      </c>
      <c r="F4" s="16" t="inlineStr">
        <is>
          <t>SLA (ชม.)</t>
        </is>
      </c>
      <c r="G4" s="16" t="inlineStr">
        <is>
          <t>เงื่อนไขข้ามขั้น</t>
        </is>
      </c>
      <c r="H4" s="16" t="inlineStr">
        <is>
          <t>ถ้าไม่ผ่านไปไหน</t>
        </is>
      </c>
      <c r="I4" s="16" t="inlineStr">
        <is>
          <t>หมายเหตุของทีม</t>
        </is>
      </c>
    </row>
    <row r="5" ht="26" customHeight="1">
      <c r="A5" s="17" t="n">
        <v>1</v>
      </c>
      <c r="B5" s="24" t="inlineStr">
        <is>
          <t>PRICE_REQUEST</t>
        </is>
      </c>
      <c r="C5" s="19" t="inlineStr">
        <is>
          <t>เช็คราคา</t>
        </is>
      </c>
      <c r="D5" s="23" t="inlineStr">
        <is>
          <t>SR</t>
        </is>
      </c>
      <c r="E5" s="23" t="inlineStr">
        <is>
          <t>BUY</t>
        </is>
      </c>
      <c r="F5" s="23" t="n">
        <v>24</v>
      </c>
      <c r="G5" s="19" t="inlineStr">
        <is>
          <t>เปิดจากใบเสนอราคา = ข้ามขั้นนี้</t>
        </is>
      </c>
      <c r="H5" s="19" t="inlineStr"/>
      <c r="I5" s="19" t="inlineStr">
        <is>
          <t>ผูกกับใบขอราคา/ใบเสนอราคาแล้ว</t>
        </is>
      </c>
    </row>
    <row r="6" ht="26" customHeight="1">
      <c r="A6" s="17" t="n">
        <v>2</v>
      </c>
      <c r="B6" s="24" t="inlineStr">
        <is>
          <t>SAMPLE_CHECK</t>
        </is>
      </c>
      <c r="C6" s="19" t="inlineStr">
        <is>
          <t>ตรวจตัวอย่าง</t>
        </is>
      </c>
      <c r="D6" s="23" t="inlineStr">
        <is>
          <t>QC</t>
        </is>
      </c>
      <c r="E6" s="23" t="inlineStr">
        <is>
          <t>BUY</t>
        </is>
      </c>
      <c r="F6" s="23" t="n">
        <v>48</v>
      </c>
      <c r="G6" s="19" t="inlineStr">
        <is>
          <t>ดูตัวอย่างก่อนซื้อไม่ได้</t>
        </is>
      </c>
      <c r="H6" s="19" t="inlineStr">
        <is>
          <t>REJECTED</t>
        </is>
      </c>
      <c r="I6" s="19" t="inlineStr"/>
    </row>
    <row r="7" ht="26" customHeight="1">
      <c r="A7" s="17" t="n">
        <v>3</v>
      </c>
      <c r="B7" s="24" t="inlineStr">
        <is>
          <t>GM_DECISION</t>
        </is>
      </c>
      <c r="C7" s="19" t="inlineStr">
        <is>
          <t>ผู้บริหารตัดสินใจ</t>
        </is>
      </c>
      <c r="D7" s="23" t="inlineStr">
        <is>
          <t>GM</t>
        </is>
      </c>
      <c r="E7" s="23" t="inlineStr">
        <is>
          <t>BUY</t>
        </is>
      </c>
      <c r="F7" s="23" t="n">
        <v>24</v>
      </c>
      <c r="G7" s="19" t="inlineStr">
        <is>
          <t>ตรวจตัวอย่างผ่านแล้ว</t>
        </is>
      </c>
      <c r="H7" s="19" t="inlineStr">
        <is>
          <t>CANCELLED</t>
        </is>
      </c>
      <c r="I7" s="19" t="inlineStr"/>
    </row>
    <row r="8" ht="26" customHeight="1">
      <c r="A8" s="17" t="n">
        <v>4</v>
      </c>
      <c r="B8" s="24" t="inlineStr">
        <is>
          <t>ORDER_CONFIRM</t>
        </is>
      </c>
      <c r="C8" s="19" t="inlineStr">
        <is>
          <t>คอนเฟิร์มออเดอร์</t>
        </is>
      </c>
      <c r="D8" s="23" t="inlineStr">
        <is>
          <t>SR</t>
        </is>
      </c>
      <c r="E8" s="23" t="inlineStr">
        <is>
          <t>BUY</t>
        </is>
      </c>
      <c r="F8" s="23" t="n">
        <v>24</v>
      </c>
      <c r="G8" s="19" t="inlineStr"/>
      <c r="H8" s="19" t="inlineStr"/>
      <c r="I8" s="19" t="inlineStr"/>
    </row>
    <row r="9" ht="26" customHeight="1">
      <c r="A9" s="17" t="n">
        <v>5</v>
      </c>
      <c r="B9" s="24" t="inlineStr">
        <is>
          <t>PI_RECEIVED</t>
        </is>
      </c>
      <c r="C9" s="19" t="inlineStr">
        <is>
          <t>รับ PI จากผู้ขาย</t>
        </is>
      </c>
      <c r="D9" s="23" t="inlineStr">
        <is>
          <t>SR</t>
        </is>
      </c>
      <c r="E9" s="23" t="inlineStr">
        <is>
          <t>BUY</t>
        </is>
      </c>
      <c r="F9" s="23" t="n">
        <v>48</v>
      </c>
      <c r="G9" s="19" t="inlineStr"/>
      <c r="H9" s="19" t="inlineStr"/>
      <c r="I9" s="19" t="inlineStr"/>
    </row>
    <row r="10" ht="26" customHeight="1">
      <c r="A10" s="17" t="n">
        <v>6</v>
      </c>
      <c r="B10" s="24" t="inlineStr">
        <is>
          <t>ITEM_CODE</t>
        </is>
      </c>
      <c r="C10" s="19" t="inlineStr">
        <is>
          <t>เปิดรหัสสินค้า</t>
        </is>
      </c>
      <c r="D10" s="23" t="inlineStr">
        <is>
          <t>LS</t>
        </is>
      </c>
      <c r="E10" s="23" t="inlineStr">
        <is>
          <t>BUY</t>
        </is>
      </c>
      <c r="F10" s="23" t="n">
        <v>24</v>
      </c>
      <c r="G10" s="19" t="inlineStr">
        <is>
          <t>มีรหัสใน B1 แล้ว</t>
        </is>
      </c>
      <c r="H10" s="19" t="inlineStr"/>
      <c r="I10" s="19" t="inlineStr">
        <is>
          <t>ข้ามไม่ได้จนกว่าจะมีรหัสจริงจาก B1</t>
        </is>
      </c>
    </row>
    <row r="11" ht="26" customHeight="1">
      <c r="A11" s="17" t="n">
        <v>7</v>
      </c>
      <c r="B11" s="24" t="inlineStr">
        <is>
          <t>PO_CREATED</t>
        </is>
      </c>
      <c r="C11" s="19" t="inlineStr">
        <is>
          <t>ผูกกับ PO ใน B1</t>
        </is>
      </c>
      <c r="D11" s="23" t="inlineStr">
        <is>
          <t>SR</t>
        </is>
      </c>
      <c r="E11" s="23" t="inlineStr">
        <is>
          <t>BUY</t>
        </is>
      </c>
      <c r="F11" s="23" t="n">
        <v>24</v>
      </c>
      <c r="G11" s="19" t="inlineStr"/>
      <c r="H11" s="19" t="inlineStr"/>
      <c r="I11" s="19" t="inlineStr">
        <is>
          <t>กดปุ่มดึงจาก B1 ไม่ให้พิมพ์เลขเอง</t>
        </is>
      </c>
    </row>
    <row r="12" ht="26" customHeight="1">
      <c r="A12" s="17" t="n">
        <v>8</v>
      </c>
      <c r="B12" s="24" t="inlineStr">
        <is>
          <t>INTERNAL_APPROVAL</t>
        </is>
      </c>
      <c r="C12" s="19" t="inlineStr">
        <is>
          <t>อนุมัติภายใน</t>
        </is>
      </c>
      <c r="D12" s="23" t="inlineStr">
        <is>
          <t>GM</t>
        </is>
      </c>
      <c r="E12" s="23" t="inlineStr">
        <is>
          <t>BUY</t>
        </is>
      </c>
      <c r="F12" s="23" t="n">
        <v>24</v>
      </c>
      <c r="G12" s="19" t="inlineStr"/>
      <c r="H12" s="19" t="inlineStr">
        <is>
          <t>ตีกลับหา SR</t>
        </is>
      </c>
      <c r="I12" s="19" t="inlineStr"/>
    </row>
    <row r="13" ht="26" customHeight="1">
      <c r="A13" s="17" t="n">
        <v>9</v>
      </c>
      <c r="B13" s="24" t="inlineStr">
        <is>
          <t>SUPPLIER_SIGN</t>
        </is>
      </c>
      <c r="C13" s="19" t="inlineStr">
        <is>
          <t>ผู้ขายเซ็น PO กลับ</t>
        </is>
      </c>
      <c r="D13" s="23" t="inlineStr">
        <is>
          <t>SR</t>
        </is>
      </c>
      <c r="E13" s="23" t="inlineStr">
        <is>
          <t>BUY</t>
        </is>
      </c>
      <c r="F13" s="23" t="n">
        <v>72</v>
      </c>
      <c r="G13" s="19" t="inlineStr"/>
      <c r="H13" s="19" t="inlineStr"/>
      <c r="I13" s="19" t="inlineStr">
        <is>
          <t>เก็บเฉพาะ PO ที่เซ็นครบแล้ว</t>
        </is>
      </c>
    </row>
    <row r="14" ht="26" customHeight="1">
      <c r="A14" s="17" t="n">
        <v>10</v>
      </c>
      <c r="B14" s="24" t="inlineStr">
        <is>
          <t>DELIVERY_BOOKING</t>
        </is>
      </c>
      <c r="C14" s="19" t="inlineStr">
        <is>
          <t>จองรถรับของ</t>
        </is>
      </c>
      <c r="D14" s="23" t="inlineStr">
        <is>
          <t>LS</t>
        </is>
      </c>
      <c r="E14" s="23" t="inlineStr">
        <is>
          <t>RECV</t>
        </is>
      </c>
      <c r="F14" s="23" t="n">
        <v>24</v>
      </c>
      <c r="G14" s="19" t="inlineStr"/>
      <c r="H14" s="19" t="inlineStr"/>
      <c r="I14" s="19" t="inlineStr">
        <is>
          <t>จองล่วงหน้า 1 วัน</t>
        </is>
      </c>
    </row>
    <row r="15" ht="26" customHeight="1">
      <c r="A15" s="17" t="n">
        <v>11</v>
      </c>
      <c r="B15" s="24" t="inlineStr">
        <is>
          <t>QC_INCOMING</t>
        </is>
      </c>
      <c r="C15" s="19" t="inlineStr">
        <is>
          <t>QC ตรวจรับ</t>
        </is>
      </c>
      <c r="D15" s="23" t="inlineStr">
        <is>
          <t>QC</t>
        </is>
      </c>
      <c r="E15" s="23" t="inlineStr">
        <is>
          <t>RECV</t>
        </is>
      </c>
      <c r="F15" s="23" t="n">
        <v>24</v>
      </c>
      <c r="G15" s="19" t="inlineStr"/>
      <c r="H15" s="19" t="inlineStr">
        <is>
          <t>CLAIM</t>
        </is>
      </c>
      <c r="I15" s="19" t="inlineStr">
        <is>
          <t>ไม่ผ่าน = เปิดเคลม + ล็อกงวดจ่าย</t>
        </is>
      </c>
    </row>
    <row r="16" ht="26" customHeight="1">
      <c r="A16" s="17" t="n">
        <v>12</v>
      </c>
      <c r="B16" s="24" t="inlineStr">
        <is>
          <t>GR</t>
        </is>
      </c>
      <c r="C16" s="19" t="inlineStr">
        <is>
          <t>รับเข้าคลัง + GRPO</t>
        </is>
      </c>
      <c r="D16" s="23" t="inlineStr">
        <is>
          <t>WH</t>
        </is>
      </c>
      <c r="E16" s="23" t="inlineStr">
        <is>
          <t>RECV</t>
        </is>
      </c>
      <c r="F16" s="23" t="n">
        <v>24</v>
      </c>
      <c r="G16" s="19" t="inlineStr"/>
      <c r="H16" s="19" t="inlineStr"/>
      <c r="I16" s="19" t="inlineStr">
        <is>
          <t>ดึงจาก OPDN/PDN1 ของ B1</t>
        </is>
      </c>
    </row>
    <row r="17" ht="26" customHeight="1">
      <c r="A17" s="17" t="n">
        <v>13</v>
      </c>
      <c r="B17" s="24" t="inlineStr">
        <is>
          <t>INVOICE_RECEIVED</t>
        </is>
      </c>
      <c r="C17" s="19" t="inlineStr">
        <is>
          <t>รับใบแจ้งหนี้</t>
        </is>
      </c>
      <c r="D17" s="23" t="inlineStr">
        <is>
          <t>AC</t>
        </is>
      </c>
      <c r="E17" s="23" t="inlineStr">
        <is>
          <t>AP</t>
        </is>
      </c>
      <c r="F17" s="23" t="n">
        <v>72</v>
      </c>
      <c r="G17" s="19" t="inlineStr"/>
      <c r="H17" s="19" t="inlineStr"/>
      <c r="I17" s="19" t="inlineStr">
        <is>
          <t>ยังต้องยืนยันว่า SR หรือ AC เป็นคนอัพ</t>
        </is>
      </c>
    </row>
    <row r="18" ht="26" customHeight="1">
      <c r="A18" s="17" t="n">
        <v>14</v>
      </c>
      <c r="B18" s="24" t="inlineStr">
        <is>
          <t>DOC_HANDOVER</t>
        </is>
      </c>
      <c r="C18" s="19" t="inlineStr">
        <is>
          <t>ส่งมอบเอกสาร</t>
        </is>
      </c>
      <c r="D18" s="23" t="inlineStr">
        <is>
          <t>SR</t>
        </is>
      </c>
      <c r="E18" s="23" t="inlineStr">
        <is>
          <t>AP</t>
        </is>
      </c>
      <c r="F18" s="23" t="n">
        <v>24</v>
      </c>
      <c r="G18" s="19" t="inlineStr"/>
      <c r="H18" s="19" t="inlineStr"/>
      <c r="I18" s="19" t="inlineStr"/>
    </row>
    <row r="19" ht="26" customHeight="1">
      <c r="A19" s="17" t="n">
        <v>15</v>
      </c>
      <c r="B19" s="24" t="inlineStr">
        <is>
          <t>PAYMENT</t>
        </is>
      </c>
      <c r="C19" s="19" t="inlineStr">
        <is>
          <t>ทำจ่าย</t>
        </is>
      </c>
      <c r="D19" s="23" t="inlineStr">
        <is>
          <t>AC</t>
        </is>
      </c>
      <c r="E19" s="23" t="inlineStr">
        <is>
          <t>PAY</t>
        </is>
      </c>
      <c r="F19" s="23" t="n">
        <v>48</v>
      </c>
      <c r="G19" s="19" t="inlineStr"/>
      <c r="H19" s="19" t="inlineStr"/>
      <c r="I19" s="19" t="inlineStr">
        <is>
          <t>ตั้งเรื่อง → อนุมัติ → บันทึกจ่าย</t>
        </is>
      </c>
    </row>
    <row r="20" ht="26" customHeight="1">
      <c r="A20" s="17" t="n">
        <v>16</v>
      </c>
      <c r="B20" s="24" t="inlineStr">
        <is>
          <t>RECEIPT_ORIGINAL</t>
        </is>
      </c>
      <c r="C20" s="19" t="inlineStr">
        <is>
          <t>ใบเสร็จตัวจริง</t>
        </is>
      </c>
      <c r="D20" s="23" t="inlineStr">
        <is>
          <t>AC</t>
        </is>
      </c>
      <c r="E20" s="23" t="inlineStr">
        <is>
          <t>PAY</t>
        </is>
      </c>
      <c r="F20" s="23" t="n">
        <v>336</v>
      </c>
      <c r="G20" s="19" t="inlineStr"/>
      <c r="H20" s="19" t="inlineStr"/>
      <c r="I20" s="19" t="inlineStr">
        <is>
          <t>336 ชม. = 14 วัน · รอยืนยันว่าส่งตรงถึง AC ได้ไหม</t>
        </is>
      </c>
    </row>
    <row r="21" ht="26" customHeight="1">
      <c r="A21" s="17" t="n">
        <v>17</v>
      </c>
      <c r="B21" s="24" t="inlineStr">
        <is>
          <t>AC_CLOSE</t>
        </is>
      </c>
      <c r="C21" s="19" t="inlineStr">
        <is>
          <t>ตรวจ 3 ทาง + ปิด</t>
        </is>
      </c>
      <c r="D21" s="23" t="inlineStr">
        <is>
          <t>AC</t>
        </is>
      </c>
      <c r="E21" s="23" t="inlineStr">
        <is>
          <t>PAY</t>
        </is>
      </c>
      <c r="F21" s="23" t="n">
        <v>48</v>
      </c>
      <c r="G21" s="19" t="inlineStr"/>
      <c r="H21" s="19" t="inlineStr"/>
      <c r="I21" s="19" t="inlineStr"/>
    </row>
    <row r="23">
      <c r="B23" s="10" t="inlineStr">
        <is>
          <t>รวม SLA ทั้งกระบวนการ (ชม.)</t>
        </is>
      </c>
      <c r="F23" s="25">
        <f>SUM(F5:F21)</f>
        <v/>
      </c>
    </row>
    <row r="24">
      <c r="B24" s="10" t="inlineStr">
        <is>
          <t>คิดเป็นวันทำการ (8 ชม./วัน)</t>
        </is>
      </c>
      <c r="F24" s="25">
        <f>ROUND(F23/8,1)</f>
        <v/>
      </c>
    </row>
    <row r="26" ht="30" customHeight="1">
      <c r="B26" s="22" t="inlineStr">
        <is>
          <t>SLA ที่ใส่ไว้เป็นค่าที่ผมตั้งเอง — ต้องให้หัวหน้าแต่ละแผนกยืนยันว่าทำได้จริง ก่อนเปิดใช้ระบบเตือน มิฉะนั้นระบบจะเตือนตลอดเวลาจนคนปิดการแจ้งเตือน</t>
        </is>
      </c>
      <c r="C26" s="12" t="n"/>
      <c r="D26" s="12" t="n"/>
      <c r="E26" s="12" t="n"/>
      <c r="F26" s="12" t="n"/>
      <c r="G26" s="12" t="n"/>
      <c r="H26" s="12" t="n"/>
      <c r="I26" s="13" t="n"/>
    </row>
  </sheetData>
  <mergeCells count="3">
    <mergeCell ref="A1:I1"/>
    <mergeCell ref="A2:I2"/>
    <mergeCell ref="B26:I26"/>
  </mergeCells>
  <dataValidations count="2">
    <dataValidation sqref="D5:D21" showDropDown="0" showInputMessage="0" showErrorMessage="0" allowBlank="1" type="list">
      <formula1>'รายการเลือก (ระบบ)'!$D$2:$D$9</formula1>
    </dataValidation>
    <dataValidation sqref="E5:E21" showDropDown="0" showInputMessage="0" showErrorMessage="0" allowBlank="1" type="list">
      <formula1>'รายการเลือก (ระบบ)'!$E$2:$E$5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D33"/>
    <outlinePr summaryBelow="1" summaryRight="1"/>
    <pageSetUpPr/>
  </sheetPr>
  <dimension ref="A1: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22" customWidth="1" min="4" max="4"/>
    <col width="12" customWidth="1" min="5" max="5"/>
    <col width="14" customWidth="1" min="6" max="6"/>
    <col width="26" customWidth="1" min="7" max="7"/>
    <col width="32" customWidth="1" min="8" max="8"/>
  </cols>
  <sheetData>
    <row r="1" ht="26" customHeight="1">
      <c r="A1" s="1" t="inlineStr">
        <is>
          <t>เอกสารที่ต้องมี (Doc_Templates)</t>
        </is>
      </c>
    </row>
    <row r="2" ht="30" customHeight="1">
      <c r="A2" s="2" t="inlineStr">
        <is>
          <t>เอกสารบังคับต่อ PO หนึ่งใบ · สลิปไม่อยู่ในรายการนี้เพราะผูกกับ «งวดจ่าย» ไม่ใช่ผูกกับ PO</t>
        </is>
      </c>
    </row>
    <row r="4" ht="30" customHeight="1">
      <c r="A4" s="16" t="inlineStr">
        <is>
          <t>รหัสเอกสาร</t>
        </is>
      </c>
      <c r="B4" s="16" t="inlineStr">
        <is>
          <t>ชื่อเอกสาร</t>
        </is>
      </c>
      <c r="C4" s="16" t="inlineStr">
        <is>
          <t>เจ้าของ</t>
        </is>
      </c>
      <c r="D4" s="16" t="inlineStr">
        <is>
          <t>เกิดที่ขั้น</t>
        </is>
      </c>
      <c r="E4" s="16" t="inlineStr">
        <is>
          <t>บังคับ</t>
        </is>
      </c>
      <c r="F4" s="16" t="inlineStr">
        <is>
          <t>ต้องกรอกยอด</t>
        </is>
      </c>
      <c r="G4" s="16" t="inlineStr">
        <is>
          <t>เก็บที่โฟลเดอร์</t>
        </is>
      </c>
      <c r="H4" s="16" t="inlineStr">
        <is>
          <t>หมายเหตุของทีม</t>
        </is>
      </c>
    </row>
    <row r="5" ht="30" customHeight="1">
      <c r="A5" s="24" t="inlineStr">
        <is>
          <t>PI</t>
        </is>
      </c>
      <c r="B5" s="19" t="inlineStr">
        <is>
          <t>PI จากผู้ขาย</t>
        </is>
      </c>
      <c r="C5" s="23" t="inlineStr">
        <is>
          <t>SR</t>
        </is>
      </c>
      <c r="D5" s="19" t="inlineStr">
        <is>
          <t>PI_RECEIVED</t>
        </is>
      </c>
      <c r="E5" s="23" t="inlineStr">
        <is>
          <t>บังคับ</t>
        </is>
      </c>
      <c r="F5" s="23" t="inlineStr">
        <is>
          <t>TRUE</t>
        </is>
      </c>
      <c r="G5" s="24" t="inlineStr">
        <is>
          <t>01_PO/.../01_PI/</t>
        </is>
      </c>
      <c r="H5" s="19" t="inlineStr"/>
    </row>
    <row r="6" ht="30" customHeight="1">
      <c r="A6" s="24" t="inlineStr">
        <is>
          <t>PO_SIGNED</t>
        </is>
      </c>
      <c r="B6" s="19" t="inlineStr">
        <is>
          <t>PO ที่เซ็นครบแล้ว</t>
        </is>
      </c>
      <c r="C6" s="23" t="inlineStr">
        <is>
          <t>SR</t>
        </is>
      </c>
      <c r="D6" s="19" t="inlineStr">
        <is>
          <t>SUPPLIER_SIGN</t>
        </is>
      </c>
      <c r="E6" s="23" t="inlineStr">
        <is>
          <t>บังคับ</t>
        </is>
      </c>
      <c r="F6" s="23" t="inlineStr">
        <is>
          <t>TRUE</t>
        </is>
      </c>
      <c r="G6" s="24" t="inlineStr">
        <is>
          <t>01_PO/.../02_PO/</t>
        </is>
      </c>
      <c r="H6" s="19" t="inlineStr">
        <is>
          <t>เก็บเฉพาะใบที่เซ็นครบ — PO ที่ยังไม่เซ็นอยู่ใน B1 แล้ว</t>
        </is>
      </c>
    </row>
    <row r="7" ht="30" customHeight="1">
      <c r="A7" s="24" t="inlineStr">
        <is>
          <t>PATTERN_LABEL</t>
        </is>
      </c>
      <c r="B7" s="19" t="inlineStr">
        <is>
          <t>Pattern label</t>
        </is>
      </c>
      <c r="C7" s="23" t="inlineStr">
        <is>
          <t>SR</t>
        </is>
      </c>
      <c r="D7" s="19" t="inlineStr">
        <is>
          <t>SUPPLIER_SIGN</t>
        </is>
      </c>
      <c r="E7" s="23" t="inlineStr">
        <is>
          <t>ไม่บังคับ</t>
        </is>
      </c>
      <c r="F7" s="23" t="inlineStr">
        <is>
          <t>FALSE</t>
        </is>
      </c>
      <c r="G7" s="24" t="inlineStr">
        <is>
          <t>01_PO/.../02_PO/</t>
        </is>
      </c>
      <c r="H7" s="19" t="inlineStr">
        <is>
          <t>ยังต้องยืนยันว่าใช้กับสินค้ากลุ่มไหน</t>
        </is>
      </c>
    </row>
    <row r="8" ht="30" customHeight="1">
      <c r="A8" s="24" t="inlineStr">
        <is>
          <t>QC_RC</t>
        </is>
      </c>
      <c r="B8" s="19" t="inlineStr">
        <is>
          <t>ผลตรวจรับ / RC + รูป</t>
        </is>
      </c>
      <c r="C8" s="23" t="inlineStr">
        <is>
          <t>QC</t>
        </is>
      </c>
      <c r="D8" s="19" t="inlineStr">
        <is>
          <t>QC_INCOMING</t>
        </is>
      </c>
      <c r="E8" s="23" t="inlineStr">
        <is>
          <t>บังคับ</t>
        </is>
      </c>
      <c r="F8" s="23" t="inlineStr">
        <is>
          <t>TRUE</t>
        </is>
      </c>
      <c r="G8" s="24" t="inlineStr">
        <is>
          <t>01_PO/.../03_QC/</t>
        </is>
      </c>
      <c r="H8" s="19" t="inlineStr">
        <is>
          <t>จำนวนที่ QC รับ คือตัวเลขที่ใช้ตรวจ 3 ทาง ไม่ใช่จำนวนที่ส่งมา</t>
        </is>
      </c>
    </row>
    <row r="9" ht="30" customHeight="1">
      <c r="A9" s="24" t="inlineStr">
        <is>
          <t>GR</t>
        </is>
      </c>
      <c r="B9" s="19" t="inlineStr">
        <is>
          <t>ใบรับสินค้า (GRPO)</t>
        </is>
      </c>
      <c r="C9" s="23" t="inlineStr">
        <is>
          <t>WH</t>
        </is>
      </c>
      <c r="D9" s="19" t="inlineStr">
        <is>
          <t>GR</t>
        </is>
      </c>
      <c r="E9" s="23" t="inlineStr">
        <is>
          <t>บังคับ</t>
        </is>
      </c>
      <c r="F9" s="23" t="inlineStr">
        <is>
          <t>TRUE</t>
        </is>
      </c>
      <c r="G9" s="24" t="inlineStr">
        <is>
          <t>01_PO/.../04_GR/</t>
        </is>
      </c>
      <c r="H9" s="19" t="inlineStr">
        <is>
          <t>ดึงจาก B1 (OPDN/PDN1)</t>
        </is>
      </c>
    </row>
    <row r="10" ht="30" customHeight="1">
      <c r="A10" s="24" t="inlineStr">
        <is>
          <t>INVOICE</t>
        </is>
      </c>
      <c r="B10" s="19" t="inlineStr">
        <is>
          <t>ใบแจ้งหนี้</t>
        </is>
      </c>
      <c r="C10" s="23" t="inlineStr">
        <is>
          <t>AC</t>
        </is>
      </c>
      <c r="D10" s="19" t="inlineStr">
        <is>
          <t>INVOICE_RECEIVED</t>
        </is>
      </c>
      <c r="E10" s="23" t="inlineStr">
        <is>
          <t>บังคับ</t>
        </is>
      </c>
      <c r="F10" s="23" t="inlineStr">
        <is>
          <t>TRUE</t>
        </is>
      </c>
      <c r="G10" s="24" t="inlineStr">
        <is>
          <t>01_PO/.../05_Invoice/</t>
        </is>
      </c>
      <c r="H10" s="19" t="inlineStr">
        <is>
          <t>เลขที่ใบแจ้งหนี้ดึงจาก OPCH.NumAtCard ของ B1</t>
        </is>
      </c>
    </row>
    <row r="11" ht="30" customHeight="1">
      <c r="A11" s="24" t="inlineStr">
        <is>
          <t>CREDIT_NOTE</t>
        </is>
      </c>
      <c r="B11" s="19" t="inlineStr">
        <is>
          <t>ใบลดหนี้</t>
        </is>
      </c>
      <c r="C11" s="23" t="inlineStr">
        <is>
          <t>AC</t>
        </is>
      </c>
      <c r="D11" s="19" t="inlineStr">
        <is>
          <t>(เมื่อมีเคลม)</t>
        </is>
      </c>
      <c r="E11" s="23" t="inlineStr">
        <is>
          <t>ตามเงื่อนไข</t>
        </is>
      </c>
      <c r="F11" s="23" t="inlineStr">
        <is>
          <t>TRUE</t>
        </is>
      </c>
      <c r="G11" s="24" t="inlineStr">
        <is>
          <t>01_PO/.../05_Invoice/</t>
        </is>
      </c>
      <c r="H11" s="19" t="inlineStr">
        <is>
          <t>ตัวปลดล็อกงวดจ่ายที่ถูกล็อกจากเคลม</t>
        </is>
      </c>
    </row>
    <row r="12" ht="30" customHeight="1">
      <c r="A12" s="24" t="inlineStr">
        <is>
          <t>SLIP</t>
        </is>
      </c>
      <c r="B12" s="19" t="inlineStr">
        <is>
          <t>สลิป / Swift</t>
        </is>
      </c>
      <c r="C12" s="23" t="inlineStr">
        <is>
          <t>AC</t>
        </is>
      </c>
      <c r="D12" s="19" t="inlineStr">
        <is>
          <t>PAYMENT</t>
        </is>
      </c>
      <c r="E12" s="23" t="inlineStr">
        <is>
          <t>บังคับทุกงวด</t>
        </is>
      </c>
      <c r="F12" s="23" t="inlineStr">
        <is>
          <t>TRUE</t>
        </is>
      </c>
      <c r="G12" s="24" t="inlineStr">
        <is>
          <t>01_PO/.../06_Payment/</t>
        </is>
      </c>
      <c r="H12" s="19" t="inlineStr">
        <is>
          <t>ผูกกับงวดจ่าย ไม่ใช่กับ PO — 2 งวดก็มี 2 สลิป</t>
        </is>
      </c>
    </row>
    <row r="13" ht="30" customHeight="1">
      <c r="A13" s="24" t="inlineStr">
        <is>
          <t>RECEIPT</t>
        </is>
      </c>
      <c r="B13" s="19" t="inlineStr">
        <is>
          <t>ใบเสร็จตัวจริง</t>
        </is>
      </c>
      <c r="C13" s="23" t="inlineStr">
        <is>
          <t>AC</t>
        </is>
      </c>
      <c r="D13" s="19" t="inlineStr">
        <is>
          <t>RECEIPT_ORIGINAL</t>
        </is>
      </c>
      <c r="E13" s="23" t="inlineStr">
        <is>
          <t>บังคับ</t>
        </is>
      </c>
      <c r="F13" s="23" t="inlineStr">
        <is>
          <t>TRUE</t>
        </is>
      </c>
      <c r="G13" s="24" t="inlineStr">
        <is>
          <t>01_PO/.../06_Payment/</t>
        </is>
      </c>
      <c r="H13" s="19" t="inlineStr"/>
    </row>
    <row r="15">
      <c r="A15" s="10" t="inlineStr">
        <is>
          <t>จำนวนเอกสารบังคับต่อ PO</t>
        </is>
      </c>
      <c r="B15" s="25">
        <f>COUNTIF(E5:E13,"บังคับ")</f>
        <v/>
      </c>
    </row>
  </sheetData>
  <mergeCells count="2">
    <mergeCell ref="A2:H2"/>
    <mergeCell ref="A1:H1"/>
  </mergeCells>
  <dataValidations count="1">
    <dataValidation sqref="C5:C13" showDropDown="0" showInputMessage="0" showErrorMessage="0" allowBlank="1" type="list">
      <formula1>'รายการเลือก (ระบบ)'!$D$2:$D$9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D33"/>
    <outlinePr summaryBelow="1" summaryRight="1"/>
    <pageSetUpPr/>
  </sheetPr>
  <dimension ref="A1:H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14" customWidth="1" min="4" max="4"/>
    <col width="16" customWidth="1" min="5" max="5"/>
    <col width="40" customWidth="1" min="6" max="6"/>
    <col width="14" customWidth="1" min="7" max="7"/>
    <col width="30" customWidth="1" min="8" max="8"/>
  </cols>
  <sheetData>
    <row r="1" ht="26" customHeight="1">
      <c r="A1" s="1" t="inlineStr">
        <is>
          <t>กฎตรวจสอบก่อนบันทึก</t>
        </is>
      </c>
    </row>
    <row r="2" ht="30" customHeight="1">
      <c r="A2" s="2" t="inlineStr">
        <is>
          <t>กฎที่ระบบใช้บล็อกหรือเตือน · «เกณฑ์» และ «ระดับ» แก้ได้ — ตัวเลขที่เป็นสีแดงคือค่าที่ผมตั้งเองและต้องให้ทีมยืนยัน</t>
        </is>
      </c>
    </row>
    <row r="4" ht="30" customHeight="1">
      <c r="A4" s="16" t="inlineStr">
        <is>
          <t>รหัส</t>
        </is>
      </c>
      <c r="B4" s="16" t="inlineStr">
        <is>
          <t>จังหวะ</t>
        </is>
      </c>
      <c r="C4" s="16" t="inlineStr">
        <is>
          <t>กฎ</t>
        </is>
      </c>
      <c r="D4" s="16" t="inlineStr">
        <is>
          <t>ระดับ</t>
        </is>
      </c>
      <c r="E4" s="16" t="inlineStr">
        <is>
          <t>เกณฑ์ (แก้ได้)</t>
        </is>
      </c>
      <c r="F4" s="16" t="inlineStr">
        <is>
          <t>ข้อความที่ผู้ใช้เห็น</t>
        </is>
      </c>
      <c r="G4" s="16" t="inlineStr">
        <is>
          <t>สถานะ</t>
        </is>
      </c>
      <c r="H4" s="16" t="inlineStr">
        <is>
          <t>หมายเหตุของทีม</t>
        </is>
      </c>
    </row>
    <row r="5" ht="28" customHeight="1">
      <c r="A5" s="25" t="inlineStr">
        <is>
          <t>V1</t>
        </is>
      </c>
      <c r="B5" s="17" t="inlineStr">
        <is>
          <t>ขณะพิมพ์</t>
        </is>
      </c>
      <c r="C5" s="5" t="inlineStr">
        <is>
          <t>จำนวน / มูลค่า ต้องมากกว่า 0</t>
        </is>
      </c>
      <c r="D5" s="23" t="inlineStr">
        <is>
          <t>บล็อก</t>
        </is>
      </c>
      <c r="E5" s="23" t="inlineStr">
        <is>
          <t>&gt; 0</t>
        </is>
      </c>
      <c r="F5" s="5" t="inlineStr">
        <is>
          <t>จำนวนต้องมากกว่า 0</t>
        </is>
      </c>
      <c r="G5" s="23" t="inlineStr">
        <is>
          <t>ใช้งาน</t>
        </is>
      </c>
      <c r="H5" s="19" t="inlineStr"/>
    </row>
    <row r="6" ht="28" customHeight="1">
      <c r="A6" s="25" t="inlineStr">
        <is>
          <t>V2</t>
        </is>
      </c>
      <c r="B6" s="17" t="inlineStr">
        <is>
          <t>ขณะพิมพ์</t>
        </is>
      </c>
      <c r="C6" s="5" t="inlineStr">
        <is>
          <t>วันครบกำหนดจ่าย ต้องไม่ก่อนวันเปิด PO</t>
        </is>
      </c>
      <c r="D6" s="23" t="inlineStr">
        <is>
          <t>บล็อก</t>
        </is>
      </c>
      <c r="E6" s="23" t="inlineStr">
        <is>
          <t>≥ วันเปิด PO</t>
        </is>
      </c>
      <c r="F6" s="5" t="inlineStr">
        <is>
          <t>วันครบกำหนดอยู่ก่อนวันเปิด PO</t>
        </is>
      </c>
      <c r="G6" s="23" t="inlineStr">
        <is>
          <t>ใช้งาน</t>
        </is>
      </c>
      <c r="H6" s="19" t="inlineStr"/>
    </row>
    <row r="7" ht="28" customHeight="1">
      <c r="A7" s="25" t="inlineStr">
        <is>
          <t>V3</t>
        </is>
      </c>
      <c r="B7" s="17" t="inlineStr">
        <is>
          <t>ขณะพิมพ์</t>
        </is>
      </c>
      <c r="C7" s="5" t="inlineStr">
        <is>
          <t>อีเมล / เบอร์ผู้ขาย รูปแบบถูกต้อง</t>
        </is>
      </c>
      <c r="D7" s="23" t="inlineStr">
        <is>
          <t>เตือน</t>
        </is>
      </c>
      <c r="E7" s="23" t="inlineStr">
        <is>
          <t>รูปแบบมาตรฐาน</t>
        </is>
      </c>
      <c r="F7" s="5" t="inlineStr">
        <is>
          <t>ขีดเส้นใต้แดงใต้ช่อง</t>
        </is>
      </c>
      <c r="G7" s="23" t="inlineStr">
        <is>
          <t>ใช้งาน</t>
        </is>
      </c>
      <c r="H7" s="19" t="inlineStr"/>
    </row>
    <row r="8" ht="28" customHeight="1">
      <c r="A8" s="25" t="inlineStr">
        <is>
          <t>V4</t>
        </is>
      </c>
      <c r="B8" s="17" t="inlineStr">
        <is>
          <t>ตอนบันทึก</t>
        </is>
      </c>
      <c r="C8" s="5" t="inlineStr">
        <is>
          <t>ไฟล์แนบครบตามที่ขั้นนั้นบังคับ</t>
        </is>
      </c>
      <c r="D8" s="23" t="inlineStr">
        <is>
          <t>บล็อก</t>
        </is>
      </c>
      <c r="E8" s="23" t="inlineStr">
        <is>
          <t>ครบทุกใบที่ is_required</t>
        </is>
      </c>
      <c r="F8" s="5" t="inlineStr">
        <is>
          <t>ยังขาด: ใบแจ้งหนี้</t>
        </is>
      </c>
      <c r="G8" s="23" t="inlineStr">
        <is>
          <t>ใช้งาน</t>
        </is>
      </c>
      <c r="H8" s="19" t="inlineStr"/>
    </row>
    <row r="9" ht="28" customHeight="1">
      <c r="A9" s="25" t="inlineStr">
        <is>
          <t>V5</t>
        </is>
      </c>
      <c r="B9" s="17" t="inlineStr">
        <is>
          <t>ตอนบันทึก</t>
        </is>
      </c>
      <c r="C9" s="5" t="inlineStr">
        <is>
          <t>ชนิดและขนาดไฟล์</t>
        </is>
      </c>
      <c r="D9" s="23" t="inlineStr">
        <is>
          <t>บล็อก</t>
        </is>
      </c>
      <c r="E9" s="26" t="inlineStr">
        <is>
          <t>pdf/jpg/png · ≤ 20 MB</t>
        </is>
      </c>
      <c r="F9" s="5" t="inlineStr">
        <is>
          <t>รองรับ PDF/JPG/PNG ไม่เกิน 20 MB</t>
        </is>
      </c>
      <c r="G9" s="23" t="inlineStr">
        <is>
          <t>ใช้งาน</t>
        </is>
      </c>
      <c r="H9" s="19" t="inlineStr"/>
    </row>
    <row r="10" ht="28" customHeight="1">
      <c r="A10" s="25" t="inlineStr">
        <is>
          <t>V6</t>
        </is>
      </c>
      <c r="B10" s="17" t="inlineStr">
        <is>
          <t>ตอนบันทึก</t>
        </is>
      </c>
      <c r="C10" s="5" t="inlineStr">
        <is>
          <t>ไฟล์ซ้ำ (checksum ตรงกับที่มีแล้ว)</t>
        </is>
      </c>
      <c r="D10" s="23" t="inlineStr">
        <is>
          <t>เตือน</t>
        </is>
      </c>
      <c r="E10" s="23" t="inlineStr">
        <is>
          <t>MD5 ตรงกัน</t>
        </is>
      </c>
      <c r="F10" s="5" t="inlineStr">
        <is>
          <t>ไฟล์นี้อัพไปแล้วเมื่อ 2 ส.ค. — ต้องการทับหรือไม่</t>
        </is>
      </c>
      <c r="G10" s="23" t="inlineStr">
        <is>
          <t>ใช้งาน</t>
        </is>
      </c>
      <c r="H10" s="19" t="inlineStr"/>
    </row>
    <row r="11" ht="28" customHeight="1">
      <c r="A11" s="25" t="inlineStr">
        <is>
          <t>V7</t>
        </is>
      </c>
      <c r="B11" s="17" t="inlineStr">
        <is>
          <t>ตอนบันทึก</t>
        </is>
      </c>
      <c r="C11" s="5" t="inlineStr">
        <is>
          <t>ผลรวมงวดจ่าย = มูลค่า PO</t>
        </is>
      </c>
      <c r="D11" s="23" t="inlineStr">
        <is>
          <t>บล็อก</t>
        </is>
      </c>
      <c r="E11" s="26" t="inlineStr">
        <is>
          <t>ต่างได้ไม่เกิน 1 บาท</t>
        </is>
      </c>
      <c r="F11" s="5" t="inlineStr">
        <is>
          <t>งวดจ่ายรวมไม่เท่ากับมูลค่า PO</t>
        </is>
      </c>
      <c r="G11" s="23" t="inlineStr">
        <is>
          <t>ใช้งาน</t>
        </is>
      </c>
      <c r="H11" s="19" t="inlineStr"/>
    </row>
    <row r="12" ht="28" customHeight="1">
      <c r="A12" s="25" t="inlineStr">
        <is>
          <t>V8</t>
        </is>
      </c>
      <c r="B12" s="17" t="inlineStr">
        <is>
          <t>ตอนบันทึก</t>
        </is>
      </c>
      <c r="C12" s="5" t="inlineStr">
        <is>
          <t>จำนวนใน GR ต้องไม่เกินจำนวนใน PO</t>
        </is>
      </c>
      <c r="D12" s="23" t="inlineStr">
        <is>
          <t>บล็อก</t>
        </is>
      </c>
      <c r="E12" s="23" t="inlineStr">
        <is>
          <t>GR ≤ PO</t>
        </is>
      </c>
      <c r="F12" s="5" t="inlineStr">
        <is>
          <t>GR 520 KG เกิน PO 500 KG</t>
        </is>
      </c>
      <c r="G12" s="23" t="inlineStr">
        <is>
          <t>ใช้งาน</t>
        </is>
      </c>
      <c r="H12" s="19" t="inlineStr"/>
    </row>
    <row r="13" ht="28" customHeight="1">
      <c r="A13" s="25" t="inlineStr">
        <is>
          <t>V9</t>
        </is>
      </c>
      <c r="B13" s="17" t="inlineStr">
        <is>
          <t>ตอนบันทึก</t>
        </is>
      </c>
      <c r="C13" s="5" t="inlineStr">
        <is>
          <t>ยอดใบแจ้งหนี้ต่างจาก PO (ระดับเตือน)</t>
        </is>
      </c>
      <c r="D13" s="23" t="inlineStr">
        <is>
          <t>เตือน</t>
        </is>
      </c>
      <c r="E13" s="26" t="inlineStr">
        <is>
          <t>&gt; 2%</t>
        </is>
      </c>
      <c r="F13" s="5" t="inlineStr">
        <is>
          <t>ยอดต่างจาก PO 1.5% — ระบุเหตุผล</t>
        </is>
      </c>
      <c r="G13" s="23" t="inlineStr">
        <is>
          <t>รอทีมยืนยันเกณฑ์</t>
        </is>
      </c>
      <c r="H13" s="19" t="inlineStr">
        <is>
          <t>AC ต้องยืนยัน 2% ว่าเหมาะสม</t>
        </is>
      </c>
    </row>
    <row r="14" ht="28" customHeight="1">
      <c r="A14" s="25" t="inlineStr">
        <is>
          <t>V10</t>
        </is>
      </c>
      <c r="B14" s="17" t="inlineStr">
        <is>
          <t>ตอนบันทึก</t>
        </is>
      </c>
      <c r="C14" s="5" t="inlineStr">
        <is>
          <t>ยอดใบแจ้งหนี้ต่างจาก PO (ระดับบล็อก)</t>
        </is>
      </c>
      <c r="D14" s="23" t="inlineStr">
        <is>
          <t>บล็อก</t>
        </is>
      </c>
      <c r="E14" s="26" t="inlineStr">
        <is>
          <t>&gt; 5%</t>
        </is>
      </c>
      <c r="F14" s="5" t="inlineStr">
        <is>
          <t>ต่างเกิน 5% ต้องให้จัดซื้อแก้ที่ต้นทางก่อน</t>
        </is>
      </c>
      <c r="G14" s="23" t="inlineStr">
        <is>
          <t>รอทีมยืนยันเกณฑ์</t>
        </is>
      </c>
      <c r="H14" s="19" t="inlineStr">
        <is>
          <t>AC ต้องยืนยัน 5% ว่าเหมาะสม</t>
        </is>
      </c>
    </row>
    <row r="15" ht="28" customHeight="1">
      <c r="A15" s="25" t="inlineStr">
        <is>
          <t>V11</t>
        </is>
      </c>
      <c r="B15" s="17" t="inlineStr">
        <is>
          <t>ตอนบันทึก</t>
        </is>
      </c>
      <c r="C15" s="5" t="inlineStr">
        <is>
          <t>วันที่ในเอกสารต้องไม่อยู่ในอนาคต</t>
        </is>
      </c>
      <c r="D15" s="23" t="inlineStr">
        <is>
          <t>เตือน</t>
        </is>
      </c>
      <c r="E15" s="23" t="inlineStr">
        <is>
          <t>≤ วันนี้</t>
        </is>
      </c>
      <c r="F15" s="5" t="inlineStr">
        <is>
          <t>วันที่ในใบแจ้งหนี้เป็นวันข้างหน้า</t>
        </is>
      </c>
      <c r="G15" s="23" t="inlineStr">
        <is>
          <t>ใช้งาน</t>
        </is>
      </c>
      <c r="H15" s="19" t="inlineStr"/>
    </row>
    <row r="16" ht="28" customHeight="1">
      <c r="A16" s="25" t="inlineStr">
        <is>
          <t>V12</t>
        </is>
      </c>
      <c r="B16" s="17" t="inlineStr">
        <is>
          <t>ตอนบันทึก</t>
        </is>
      </c>
      <c r="C16" s="5" t="inlineStr">
        <is>
          <t>เลขที่ใบแจ้งหนี้ไม่ซ้ำต่อผู้ขายเดียวกัน</t>
        </is>
      </c>
      <c r="D16" s="23" t="inlineStr">
        <is>
          <t>บล็อก</t>
        </is>
      </c>
      <c r="E16" s="23" t="inlineStr">
        <is>
          <t>ไม่ซ้ำ</t>
        </is>
      </c>
      <c r="F16" s="5" t="inlineStr">
        <is>
          <t>เลขใบแจ้งหนี้นี้ใช้แล้วใน PO-26-0031</t>
        </is>
      </c>
      <c r="G16" s="23" t="inlineStr">
        <is>
          <t>ใช้งาน</t>
        </is>
      </c>
      <c r="H16" s="19" t="inlineStr">
        <is>
          <t>เทียบกับ OPCH.NumAtCard ของ B1 ด้วย</t>
        </is>
      </c>
    </row>
    <row r="17" ht="28" customHeight="1">
      <c r="A17" s="25" t="inlineStr">
        <is>
          <t>V13</t>
        </is>
      </c>
      <c r="B17" s="17" t="inlineStr">
        <is>
          <t>เปลี่ยนขั้น</t>
        </is>
      </c>
      <c r="C17" s="5" t="inlineStr">
        <is>
          <t>เอกสารบังคับของขั้นก่อนหน้าครบทุกใบ</t>
        </is>
      </c>
      <c r="D17" s="23" t="inlineStr">
        <is>
          <t>บล็อก</t>
        </is>
      </c>
      <c r="E17" s="23" t="inlineStr">
        <is>
          <t>ครบ 100%</t>
        </is>
      </c>
      <c r="F17" s="5" t="inlineStr">
        <is>
          <t>ยังขาดเอกสารจากขั้นก่อน</t>
        </is>
      </c>
      <c r="G17" s="23" t="inlineStr">
        <is>
          <t>ใช้งาน</t>
        </is>
      </c>
      <c r="H17" s="19" t="inlineStr"/>
    </row>
    <row r="18" ht="28" customHeight="1">
      <c r="A18" s="25" t="inlineStr">
        <is>
          <t>V14</t>
        </is>
      </c>
      <c r="B18" s="17" t="inlineStr">
        <is>
          <t>เปลี่ยนขั้น</t>
        </is>
      </c>
      <c r="C18" s="5" t="inlineStr">
        <is>
          <t>ไม่มีใบเคลมที่ยังไม่ได้ใบลดหนี้</t>
        </is>
      </c>
      <c r="D18" s="23" t="inlineStr">
        <is>
          <t>บล็อก</t>
        </is>
      </c>
      <c r="E18" s="23" t="inlineStr">
        <is>
          <t>ไม่มีเคลมค้าง</t>
        </is>
      </c>
      <c r="F18" s="5" t="inlineStr">
        <is>
          <t>มีใบเคลมที่ยังไม่ได้รับใบลดหนี้</t>
        </is>
      </c>
      <c r="G18" s="23" t="inlineStr">
        <is>
          <t>ใช้งาน</t>
        </is>
      </c>
      <c r="H18" s="19" t="inlineStr"/>
    </row>
    <row r="19" ht="28" customHeight="1">
      <c r="A19" s="25" t="inlineStr">
        <is>
          <t>V15</t>
        </is>
      </c>
      <c r="B19" s="17" t="inlineStr">
        <is>
          <t>เปลี่ยนขั้น</t>
        </is>
      </c>
      <c r="C19" s="5" t="inlineStr">
        <is>
          <t>ทุกงวดจ่ายเป็น PAID และมีสลิปครบ</t>
        </is>
      </c>
      <c r="D19" s="23" t="inlineStr">
        <is>
          <t>บล็อก</t>
        </is>
      </c>
      <c r="E19" s="23" t="inlineStr">
        <is>
          <t>ทุกงวด</t>
        </is>
      </c>
      <c r="F19" s="5" t="inlineStr">
        <is>
          <t>ยังจ่ายไม่ครบ</t>
        </is>
      </c>
      <c r="G19" s="23" t="inlineStr">
        <is>
          <t>ใช้งาน</t>
        </is>
      </c>
      <c r="H19" s="19" t="inlineStr"/>
    </row>
    <row r="20" ht="28" customHeight="1">
      <c r="A20" s="25" t="inlineStr">
        <is>
          <t>V16</t>
        </is>
      </c>
      <c r="B20" s="17" t="inlineStr">
        <is>
          <t>เปลี่ยนขั้น</t>
        </is>
      </c>
      <c r="C20" s="5" t="inlineStr">
        <is>
          <t>ตรวจ 3 ทางผ่าน — เทียบกับจำนวนที่ QC รับ</t>
        </is>
      </c>
      <c r="D20" s="23" t="inlineStr">
        <is>
          <t>บล็อก</t>
        </is>
      </c>
      <c r="E20" s="23" t="inlineStr">
        <is>
          <t>PO x QC รับ x ใบแจ้งหนี้</t>
        </is>
      </c>
      <c r="F20" s="5" t="inlineStr">
        <is>
          <t>ตรวจ 3 ทางยังไม่ผ่าน</t>
        </is>
      </c>
      <c r="G20" s="23" t="inlineStr">
        <is>
          <t>ใช้งาน</t>
        </is>
      </c>
      <c r="H20" s="19" t="inlineStr">
        <is>
          <t>สำคัญ: เทียบกับจำนวนที่ QC รับ ไม่ใช่จำนวนที่ส่งมา</t>
        </is>
      </c>
    </row>
    <row r="21" ht="28" customHeight="1">
      <c r="A21" s="25" t="inlineStr">
        <is>
          <t>V17</t>
        </is>
      </c>
      <c r="B21" s="17" t="inlineStr">
        <is>
          <t>เปลี่ยนขั้น</t>
        </is>
      </c>
      <c r="C21" s="5" t="inlineStr">
        <is>
          <t>ผู้อนุมัติต้องไม่ใช่ผู้สร้าง/ผู้อัพโหลด</t>
        </is>
      </c>
      <c r="D21" s="23" t="inlineStr">
        <is>
          <t>บล็อก</t>
        </is>
      </c>
      <c r="E21" s="23" t="inlineStr">
        <is>
          <t>คนละคน</t>
        </is>
      </c>
      <c r="F21" s="5" t="inlineStr">
        <is>
          <t>อนุมัติเอกสารของตัวเองไม่ได้</t>
        </is>
      </c>
      <c r="G21" s="23" t="inlineStr">
        <is>
          <t>ใช้งาน</t>
        </is>
      </c>
      <c r="H21" s="19" t="inlineStr"/>
    </row>
    <row r="22" ht="28" customHeight="1">
      <c r="A22" s="25" t="inlineStr">
        <is>
          <t>V18</t>
        </is>
      </c>
      <c r="B22" s="17" t="inlineStr">
        <is>
          <t>เปลี่ยนขั้น</t>
        </is>
      </c>
      <c r="C22" s="5" t="inlineStr">
        <is>
          <t>ต้องมีรหัสสินค้าจริงจาก B1 แล้ว</t>
        </is>
      </c>
      <c r="D22" s="23" t="inlineStr">
        <is>
          <t>บล็อก</t>
        </is>
      </c>
      <c r="E22" s="23" t="inlineStr">
        <is>
          <t>sap_item_code ไม่ว่าง</t>
        </is>
      </c>
      <c r="F22" s="5" t="inlineStr">
        <is>
          <t>ยังไม่มีรหัสสินค้าจาก B1</t>
        </is>
      </c>
      <c r="G22" s="23" t="inlineStr">
        <is>
          <t>ใช้งาน</t>
        </is>
      </c>
      <c r="H22" s="19" t="inlineStr"/>
    </row>
    <row r="23" ht="28" customHeight="1">
      <c r="A23" s="25" t="inlineStr">
        <is>
          <t>P1</t>
        </is>
      </c>
      <c r="B23" s="17" t="inlineStr">
        <is>
          <t>ขณะพิมพ์</t>
        </is>
      </c>
      <c r="C23" s="5" t="inlineStr">
        <is>
          <t>วันที่จ่ายต้องไม่เป็นวันในอนาคต</t>
        </is>
      </c>
      <c r="D23" s="23" t="inlineStr">
        <is>
          <t>บล็อก</t>
        </is>
      </c>
      <c r="E23" s="23" t="inlineStr">
        <is>
          <t>≤ วันนี้</t>
        </is>
      </c>
      <c r="F23" s="5" t="inlineStr">
        <is>
          <t>วันที่จ่ายเป็นวันข้างหน้า — บันทึกได้เมื่อจ่ายจริงแล้ว</t>
        </is>
      </c>
      <c r="G23" s="23" t="inlineStr">
        <is>
          <t>ใช้งาน</t>
        </is>
      </c>
      <c r="H23" s="19" t="inlineStr"/>
    </row>
    <row r="24" ht="28" customHeight="1">
      <c r="A24" s="25" t="inlineStr">
        <is>
          <t>P2</t>
        </is>
      </c>
      <c r="B24" s="17" t="inlineStr">
        <is>
          <t>ขณะพิมพ์</t>
        </is>
      </c>
      <c r="C24" s="5" t="inlineStr">
        <is>
          <t>วันที่ธนาคารตัดเงิน ≥ วันที่จ่าย</t>
        </is>
      </c>
      <c r="D24" s="23" t="inlineStr">
        <is>
          <t>บล็อก</t>
        </is>
      </c>
      <c r="E24" s="23" t="inlineStr">
        <is>
          <t>≥ payment_date</t>
        </is>
      </c>
      <c r="F24" s="5" t="inlineStr">
        <is>
          <t>วันที่ธนาคารตัดเงินต้องไม่ก่อนวันที่จ่าย</t>
        </is>
      </c>
      <c r="G24" s="23" t="inlineStr">
        <is>
          <t>ใช้งาน</t>
        </is>
      </c>
      <c r="H24" s="19" t="inlineStr"/>
    </row>
    <row r="25" ht="28" customHeight="1">
      <c r="A25" s="25" t="inlineStr">
        <is>
          <t>P3</t>
        </is>
      </c>
      <c r="B25" s="17" t="inlineStr">
        <is>
          <t>ขณะพิมพ์</t>
        </is>
      </c>
      <c r="C25" s="5" t="inlineStr">
        <is>
          <t>จำนวนเงินที่จ่ายต้องมากกว่า 0</t>
        </is>
      </c>
      <c r="D25" s="23" t="inlineStr">
        <is>
          <t>บล็อก</t>
        </is>
      </c>
      <c r="E25" s="23" t="inlineStr">
        <is>
          <t>&gt; 0</t>
        </is>
      </c>
      <c r="F25" s="5" t="inlineStr">
        <is>
          <t>จำนวนเงินต้องมากกว่า 0</t>
        </is>
      </c>
      <c r="G25" s="23" t="inlineStr">
        <is>
          <t>ใช้งาน</t>
        </is>
      </c>
      <c r="H25" s="19" t="inlineStr"/>
    </row>
    <row r="26" ht="28" customHeight="1">
      <c r="A26" s="25" t="inlineStr">
        <is>
          <t>P4</t>
        </is>
      </c>
      <c r="B26" s="17" t="inlineStr">
        <is>
          <t>ขณะพิมพ์</t>
        </is>
      </c>
      <c r="C26" s="5" t="inlineStr">
        <is>
          <t>อัตราภาษีหัก ณ ที่จ่ายอยู่ในช่วงปกติ</t>
        </is>
      </c>
      <c r="D26" s="23" t="inlineStr">
        <is>
          <t>บล็อก</t>
        </is>
      </c>
      <c r="E26" s="26" t="inlineStr">
        <is>
          <t>0–15%</t>
        </is>
      </c>
      <c r="F26" s="5" t="inlineStr">
        <is>
          <t>อัตราหัก ณ ที่จ่ายผิดปกติ</t>
        </is>
      </c>
      <c r="G26" s="23" t="inlineStr">
        <is>
          <t>รอทีมยืนยันเกณฑ์</t>
        </is>
      </c>
      <c r="H26" s="19" t="inlineStr">
        <is>
          <t>รออัตราจริงที่บริษัทใช้</t>
        </is>
      </c>
    </row>
    <row r="27" ht="28" customHeight="1">
      <c r="A27" s="25" t="inlineStr">
        <is>
          <t>P5</t>
        </is>
      </c>
      <c r="B27" s="17" t="inlineStr">
        <is>
          <t>ตอนบันทึก</t>
        </is>
      </c>
      <c r="C27" s="5" t="inlineStr">
        <is>
          <t>ต้องแนบสลิป / Swift</t>
        </is>
      </c>
      <c r="D27" s="23" t="inlineStr">
        <is>
          <t>บล็อก</t>
        </is>
      </c>
      <c r="E27" s="23" t="inlineStr">
        <is>
          <t>บังคับ</t>
        </is>
      </c>
      <c r="F27" s="5" t="inlineStr">
        <is>
          <t>ต้องแนบสลิปหรือ Swift ก่อนบันทึกการจ่าย</t>
        </is>
      </c>
      <c r="G27" s="23" t="inlineStr">
        <is>
          <t>ใช้งาน</t>
        </is>
      </c>
      <c r="H27" s="19" t="inlineStr"/>
    </row>
    <row r="28" ht="28" customHeight="1">
      <c r="A28" s="25" t="inlineStr">
        <is>
          <t>P6</t>
        </is>
      </c>
      <c r="B28" s="17" t="inlineStr">
        <is>
          <t>ตอนบันทึก</t>
        </is>
      </c>
      <c r="C28" s="5" t="inlineStr">
        <is>
          <t>ต้องมีเลขอ้างอิงธนาคาร</t>
        </is>
      </c>
      <c r="D28" s="23" t="inlineStr">
        <is>
          <t>บล็อก</t>
        </is>
      </c>
      <c r="E28" s="23" t="inlineStr">
        <is>
          <t>บังคับ</t>
        </is>
      </c>
      <c r="F28" s="5" t="inlineStr">
        <is>
          <t>ต้องใส่เลขอ้างอิงเพื่อกระทบยอดกับ statement</t>
        </is>
      </c>
      <c r="G28" s="23" t="inlineStr">
        <is>
          <t>ใช้งาน</t>
        </is>
      </c>
      <c r="H28" s="19" t="inlineStr"/>
    </row>
    <row r="29" ht="28" customHeight="1">
      <c r="A29" s="25" t="inlineStr">
        <is>
          <t>P7</t>
        </is>
      </c>
      <c r="B29" s="17" t="inlineStr">
        <is>
          <t>ตอนบันทึก</t>
        </is>
      </c>
      <c r="C29" s="5" t="inlineStr">
        <is>
          <t>ยอดที่จ่ายต่างจากที่คำนวณ</t>
        </is>
      </c>
      <c r="D29" s="23" t="inlineStr">
        <is>
          <t>เตือน</t>
        </is>
      </c>
      <c r="E29" s="26" t="inlineStr">
        <is>
          <t>&gt; 1 บาท</t>
        </is>
      </c>
      <c r="F29" s="5" t="inlineStr">
        <is>
          <t>ยอดต่างจากที่คำนวณ — ระบุเหตุผล</t>
        </is>
      </c>
      <c r="G29" s="23" t="inlineStr">
        <is>
          <t>ใช้งาน</t>
        </is>
      </c>
      <c r="H29" s="19" t="inlineStr">
        <is>
          <t>เหตุผลขึ้นในรายงานของหัวหน้าบัญชี</t>
        </is>
      </c>
    </row>
    <row r="30" ht="28" customHeight="1">
      <c r="A30" s="25" t="inlineStr">
        <is>
          <t>P8</t>
        </is>
      </c>
      <c r="B30" s="17" t="inlineStr">
        <is>
          <t>ตอนบันทึก</t>
        </is>
      </c>
      <c r="C30" s="5" t="inlineStr">
        <is>
          <t>ยอดสะสมที่จ่ายต้องไม่เกินมูลค่า PO</t>
        </is>
      </c>
      <c r="D30" s="23" t="inlineStr">
        <is>
          <t>บล็อก</t>
        </is>
      </c>
      <c r="E30" s="23" t="inlineStr">
        <is>
          <t>≤ มูลค่า PO</t>
        </is>
      </c>
      <c r="F30" s="5" t="inlineStr">
        <is>
          <t>จ่ายรวมเกินมูลค่า PO</t>
        </is>
      </c>
      <c r="G30" s="23" t="inlineStr">
        <is>
          <t>ใช้งาน</t>
        </is>
      </c>
      <c r="H30" s="19" t="inlineStr"/>
    </row>
    <row r="31" ht="28" customHeight="1">
      <c r="A31" s="25" t="inlineStr">
        <is>
          <t>P9</t>
        </is>
      </c>
      <c r="B31" s="17" t="inlineStr">
        <is>
          <t>ตอนบันทึก</t>
        </is>
      </c>
      <c r="C31" s="5" t="inlineStr">
        <is>
          <t>จ่ายย้อนหลังเกินกำหนด</t>
        </is>
      </c>
      <c r="D31" s="23" t="inlineStr">
        <is>
          <t>เตือน</t>
        </is>
      </c>
      <c r="E31" s="26" t="inlineStr">
        <is>
          <t>&gt; 7 วัน</t>
        </is>
      </c>
      <c r="F31" s="5" t="inlineStr">
        <is>
          <t>จ่ายย้อนหลัง X วัน — ต้องขออนุมัติเพิ่ม</t>
        </is>
      </c>
      <c r="G31" s="23" t="inlineStr">
        <is>
          <t>รอทีมยืนยันเกณฑ์</t>
        </is>
      </c>
      <c r="H31" s="19" t="inlineStr">
        <is>
          <t>AC ต้องยืนยันว่า 7 วันเหมาะสม</t>
        </is>
      </c>
    </row>
    <row r="32" ht="28" customHeight="1">
      <c r="A32" s="25" t="inlineStr">
        <is>
          <t>P10</t>
        </is>
      </c>
      <c r="B32" s="17" t="inlineStr">
        <is>
          <t>ตอนบันทึก</t>
        </is>
      </c>
      <c r="C32" s="5" t="inlineStr">
        <is>
          <t>งวดบัญชีต้องยังไม่ปิด</t>
        </is>
      </c>
      <c r="D32" s="23" t="inlineStr">
        <is>
          <t>บล็อก</t>
        </is>
      </c>
      <c r="E32" s="23" t="inlineStr">
        <is>
          <t>posting_period ยังเปิด</t>
        </is>
      </c>
      <c r="F32" s="5" t="inlineStr">
        <is>
          <t>งวดบัญชีปิดแล้ว — บันทึกในงวดปัจจุบันแทน</t>
        </is>
      </c>
      <c r="G32" s="23" t="inlineStr">
        <is>
          <t>ใช้งาน</t>
        </is>
      </c>
      <c r="H32" s="19" t="inlineStr"/>
    </row>
    <row r="33" ht="28" customHeight="1">
      <c r="A33" s="25" t="inlineStr">
        <is>
          <t>P11</t>
        </is>
      </c>
      <c r="B33" s="17" t="inlineStr">
        <is>
          <t>ตอนบันทึก</t>
        </is>
      </c>
      <c r="C33" s="5" t="inlineStr">
        <is>
          <t>เลขอ้างอิงธนาคารห้ามซ้ำ</t>
        </is>
      </c>
      <c r="D33" s="23" t="inlineStr">
        <is>
          <t>บล็อก</t>
        </is>
      </c>
      <c r="E33" s="23" t="inlineStr">
        <is>
          <t>ไม่ซ้ำทั้งระบบ</t>
        </is>
      </c>
      <c r="F33" s="5" t="inlineStr">
        <is>
          <t>เลขอ้างอิงนี้ใช้แล้วใน PO-26-0031 งวด 1</t>
        </is>
      </c>
      <c r="G33" s="23" t="inlineStr">
        <is>
          <t>ใช้งาน</t>
        </is>
      </c>
      <c r="H33" s="19" t="inlineStr">
        <is>
          <t>กฎที่ป้องกันการจ่ายซ้ำ — ความผิดพลาดที่แพงที่สุดในงาน AP</t>
        </is>
      </c>
    </row>
    <row r="34" ht="28" customHeight="1">
      <c r="A34" s="25" t="inlineStr">
        <is>
          <t>P12</t>
        </is>
      </c>
      <c r="B34" s="17" t="inlineStr">
        <is>
          <t>ตอนบันทึก</t>
        </is>
      </c>
      <c r="C34" s="5" t="inlineStr">
        <is>
          <t>งวดต้องอยู่ในสถานะ APPROVED</t>
        </is>
      </c>
      <c r="D34" s="23" t="inlineStr">
        <is>
          <t>บล็อก</t>
        </is>
      </c>
      <c r="E34" s="23">
        <f> APPROVED</f>
        <v/>
      </c>
      <c r="F34" s="5" t="inlineStr">
        <is>
          <t>งวดนี้ยังไม่ผ่านการอนุมัติจ่าย</t>
        </is>
      </c>
      <c r="G34" s="23" t="inlineStr">
        <is>
          <t>ใช้งาน</t>
        </is>
      </c>
      <c r="H34" s="19" t="inlineStr"/>
    </row>
    <row r="35" ht="28" customHeight="1">
      <c r="A35" s="25" t="inlineStr">
        <is>
          <t>C1</t>
        </is>
      </c>
      <c r="B35" s="17" t="inlineStr">
        <is>
          <t>ตอนบันทึก</t>
        </is>
      </c>
      <c r="C35" s="5" t="inlineStr">
        <is>
          <t>ซื้อเงินสดต้องระบุเหตุผลที่ไม่เปิด PO</t>
        </is>
      </c>
      <c r="D35" s="23" t="inlineStr">
        <is>
          <t>บล็อก</t>
        </is>
      </c>
      <c r="E35" s="23" t="inlineStr">
        <is>
          <t>ต้องมีข้อความ</t>
        </is>
      </c>
      <c r="F35" s="5" t="inlineStr">
        <is>
          <t>ต้องบอกเหตุผลที่ไม่เปิด PO — ผู้ตรวจสอบบัญชีถามทุกครั้ง</t>
        </is>
      </c>
      <c r="G35" s="23" t="inlineStr">
        <is>
          <t>ใช้งาน</t>
        </is>
      </c>
      <c r="H35" s="19" t="inlineStr">
        <is>
          <t>ช่องนี้คือสิ่งเดียวที่ทำให้การซื้อเงินสดตรวจสอบได้</t>
        </is>
      </c>
    </row>
    <row r="36" ht="28" customHeight="1">
      <c r="A36" s="25" t="inlineStr">
        <is>
          <t>C2</t>
        </is>
      </c>
      <c r="B36" s="17" t="inlineStr">
        <is>
          <t>ตอนบันทึก</t>
        </is>
      </c>
      <c r="C36" s="5" t="inlineStr">
        <is>
          <t>วันที่จ่ายเงินสดต้องไม่เป็นวันข้างหน้า</t>
        </is>
      </c>
      <c r="D36" s="23" t="inlineStr">
        <is>
          <t>บล็อก</t>
        </is>
      </c>
      <c r="E36" s="23" t="inlineStr">
        <is>
          <t>≤ วันนี้</t>
        </is>
      </c>
      <c r="F36" s="5" t="inlineStr">
        <is>
          <t>วันที่จ่ายเป็นวันข้างหน้า — บันทึกได้เมื่อจ่ายจริงแล้ว</t>
        </is>
      </c>
      <c r="G36" s="23" t="inlineStr">
        <is>
          <t>ใช้งาน</t>
        </is>
      </c>
      <c r="H36" s="19" t="inlineStr"/>
    </row>
    <row r="37" ht="28" customHeight="1">
      <c r="A37" s="25" t="inlineStr">
        <is>
          <t>C3</t>
        </is>
      </c>
      <c r="B37" s="17" t="inlineStr">
        <is>
          <t>ตอนบันทึก</t>
        </is>
      </c>
      <c r="C37" s="5" t="inlineStr">
        <is>
          <t>ข้าม QC ต้องระบุเหตุผลและผู้อนุมัติ</t>
        </is>
      </c>
      <c r="D37" s="23" t="inlineStr">
        <is>
          <t>บล็อก</t>
        </is>
      </c>
      <c r="E37" s="23" t="inlineStr">
        <is>
          <t>ต้องมีทั้ง 2 ช่อง</t>
        </is>
      </c>
      <c r="F37" s="5" t="inlineStr">
        <is>
          <t>ข้าม QC ต้องระบุเหตุผลและชื่อผู้อนุมัติ — เก็บเป็นหลักฐานถาวร</t>
        </is>
      </c>
      <c r="G37" s="23" t="inlineStr">
        <is>
          <t>ใช้งาน</t>
        </is>
      </c>
      <c r="H37" s="19" t="inlineStr">
        <is>
          <t>หัวหน้า QC เห็นทุกใบที่ข้ามในทะเบียนรายการเงินสด</t>
        </is>
      </c>
    </row>
    <row r="38" ht="28" customHeight="1">
      <c r="A38" s="25" t="inlineStr">
        <is>
          <t>C4</t>
        </is>
      </c>
      <c r="B38" s="17" t="inlineStr">
        <is>
          <t>ตอนบันทึก</t>
        </is>
      </c>
      <c r="C38" s="5" t="inlineStr">
        <is>
          <t>ยอดซื้อเงินสดต่อรายการต้องไม่เกินเพดาน</t>
        </is>
      </c>
      <c r="D38" s="23" t="inlineStr">
        <is>
          <t>บล็อก</t>
        </is>
      </c>
      <c r="E38" s="26" t="inlineStr">
        <is>
          <t>≤ 50,000 บาท</t>
        </is>
      </c>
      <c r="F38" s="5" t="inlineStr">
        <is>
          <t>เงินสดเกิน 50,000 บาท ต้องเปิด PO</t>
        </is>
      </c>
      <c r="G38" s="23" t="inlineStr">
        <is>
          <t>รอทีมยืนยันเกณฑ์</t>
        </is>
      </c>
      <c r="H38" s="19" t="inlineStr">
        <is>
          <t>ผู้บริหาร + บัญชี ต้องยืนยันเพดานนี้ · ตั้งไว้เท่าวงเงินอนุมัติจ่าย</t>
        </is>
      </c>
    </row>
    <row r="39" ht="28" customHeight="1">
      <c r="A39" s="25" t="inlineStr">
        <is>
          <t>C5</t>
        </is>
      </c>
      <c r="B39" s="17" t="inlineStr">
        <is>
          <t>ขณะพิมพ์</t>
        </is>
      </c>
      <c r="C39" s="5" t="inlineStr">
        <is>
          <t>ร้าน / สินค้า / จำนวน / ยอดเงิน ต้องไม่ว่าง</t>
        </is>
      </c>
      <c r="D39" s="23" t="inlineStr">
        <is>
          <t>บล็อก</t>
        </is>
      </c>
      <c r="E39" s="23" t="inlineStr">
        <is>
          <t>ครบทั้ง 4 ช่อง</t>
        </is>
      </c>
      <c r="F39" s="5" t="inlineStr">
        <is>
          <t>ยังกรอกไม่ครบ</t>
        </is>
      </c>
      <c r="G39" s="23" t="inlineStr">
        <is>
          <t>ใช้งาน</t>
        </is>
      </c>
      <c r="H39" s="19" t="inlineStr"/>
    </row>
    <row r="40" ht="28" customHeight="1">
      <c r="A40" s="25" t="inlineStr">
        <is>
          <t>U1</t>
        </is>
      </c>
      <c r="B40" s="17" t="inlineStr">
        <is>
          <t>ตอนบันทึก</t>
        </is>
      </c>
      <c r="C40" s="5" t="inlineStr">
        <is>
          <t>ขั้นที่มีเอกสารบังคับ ต้องแนบไฟล์ก่อนส่งต่อ</t>
        </is>
      </c>
      <c r="D40" s="23" t="inlineStr">
        <is>
          <t>บล็อก</t>
        </is>
      </c>
      <c r="E40" s="23" t="inlineStr">
        <is>
          <t>ครบตาม Doc_Templates</t>
        </is>
      </c>
      <c r="F40" s="5" t="inlineStr">
        <is>
          <t>ขั้นนี้ต้องแนบใบรับสินค้า (GRPO) ก่อนถึงจะส่งต่อได้</t>
        </is>
      </c>
      <c r="G40" s="23" t="inlineStr">
        <is>
          <t>ใช้งาน</t>
        </is>
      </c>
      <c r="H40" s="19" t="inlineStr">
        <is>
          <t>แทนพฤติกรรมเดิมที่กดปุ่มเสร็จแล้วส่งต่อทันทีโดยไม่มีหลักฐาน</t>
        </is>
      </c>
    </row>
    <row r="41" ht="28" customHeight="1">
      <c r="A41" s="25" t="inlineStr">
        <is>
          <t>U2</t>
        </is>
      </c>
      <c r="B41" s="17" t="inlineStr">
        <is>
          <t>ตอนบันทึก</t>
        </is>
      </c>
      <c r="C41" s="5" t="inlineStr">
        <is>
          <t>ขั้นที่ไม่แนบไฟล์ ต้องเขียนหมายเหตุแทน</t>
        </is>
      </c>
      <c r="D41" s="23" t="inlineStr">
        <is>
          <t>บล็อก</t>
        </is>
      </c>
      <c r="E41" s="23" t="inlineStr">
        <is>
          <t>ติ๊กไม่มีเอกสาร + มีหมายเหตุ</t>
        </is>
      </c>
      <c r="F41" s="5" t="inlineStr">
        <is>
          <t>ไม่แนบไฟล์ต้องเขียนหมายเหตุว่าทำอะไรไปในขั้นนี้</t>
        </is>
      </c>
      <c r="G41" s="23" t="inlineStr">
        <is>
          <t>ใช้งาน</t>
        </is>
      </c>
      <c r="H41" s="19" t="inlineStr"/>
    </row>
    <row r="42" ht="28" customHeight="1">
      <c r="A42" s="25" t="inlineStr">
        <is>
          <t>S1</t>
        </is>
      </c>
      <c r="B42" s="17" t="inlineStr">
        <is>
          <t>ขณะพิมพ์</t>
        </is>
      </c>
      <c r="C42" s="5" t="inlineStr">
        <is>
          <t>ยอดเงินที่ขอจ่ายต้องมากกว่า 0</t>
        </is>
      </c>
      <c r="D42" s="23" t="inlineStr">
        <is>
          <t>บล็อก</t>
        </is>
      </c>
      <c r="E42" s="23" t="inlineStr">
        <is>
          <t>&gt; 0</t>
        </is>
      </c>
      <c r="F42" s="5" t="inlineStr">
        <is>
          <t>ต้องระบุยอดเงินที่ต้องจ่าย</t>
        </is>
      </c>
      <c r="G42" s="23" t="inlineStr">
        <is>
          <t>ใช้งาน</t>
        </is>
      </c>
      <c r="H42" s="19" t="inlineStr">
        <is>
          <t>ช่องบังคับตามที่ทีมขอ</t>
        </is>
      </c>
    </row>
    <row r="43" ht="28" customHeight="1">
      <c r="A43" s="25" t="inlineStr">
        <is>
          <t>S2</t>
        </is>
      </c>
      <c r="B43" s="17" t="inlineStr">
        <is>
          <t>ตอนบันทึก</t>
        </is>
      </c>
      <c r="C43" s="5" t="inlineStr">
        <is>
          <t>ยอดที่ขอต้องไม่เกินยอดคงเหลือของ PO</t>
        </is>
      </c>
      <c r="D43" s="23" t="inlineStr">
        <is>
          <t>บล็อก</t>
        </is>
      </c>
      <c r="E43" s="23" t="inlineStr">
        <is>
          <t>≤ ยอดคงเหลือ</t>
        </is>
      </c>
      <c r="F43" s="5" t="inlineStr">
        <is>
          <t>ยอดที่ขอเกินยอดคงเหลือของ PO</t>
        </is>
      </c>
      <c r="G43" s="23" t="inlineStr">
        <is>
          <t>ใช้งาน</t>
        </is>
      </c>
      <c r="H43" s="19" t="inlineStr">
        <is>
          <t>กันขอจ่ายเกินมูลค่าที่สั่งซื้อ</t>
        </is>
      </c>
    </row>
    <row r="44" ht="28" customHeight="1">
      <c r="A44" s="25" t="inlineStr">
        <is>
          <t>S3</t>
        </is>
      </c>
      <c r="B44" s="17" t="inlineStr">
        <is>
          <t>ขณะพิมพ์</t>
        </is>
      </c>
      <c r="C44" s="5" t="inlineStr">
        <is>
          <t>ต้องระบุ Effective date</t>
        </is>
      </c>
      <c r="D44" s="23" t="inlineStr">
        <is>
          <t>บล็อก</t>
        </is>
      </c>
      <c r="E44" s="23" t="inlineStr">
        <is>
          <t>ต้องมีค่า</t>
        </is>
      </c>
      <c r="F44" s="5" t="inlineStr">
        <is>
          <t>ต้องระบุ Effective date</t>
        </is>
      </c>
      <c r="G44" s="23" t="inlineStr">
        <is>
          <t>ใช้งาน</t>
        </is>
      </c>
      <c r="H44" s="19" t="inlineStr">
        <is>
          <t>ช่องบังคับตามที่ทีมขอ</t>
        </is>
      </c>
    </row>
    <row r="45" ht="28" customHeight="1">
      <c r="A45" s="25" t="inlineStr">
        <is>
          <t>S4</t>
        </is>
      </c>
      <c r="B45" s="17" t="inlineStr">
        <is>
          <t>ตอนบันทึก</t>
        </is>
      </c>
      <c r="C45" s="5" t="inlineStr">
        <is>
          <t>Effective date ต้องไม่ย้อนหลัง</t>
        </is>
      </c>
      <c r="D45" s="23" t="inlineStr">
        <is>
          <t>บล็อก</t>
        </is>
      </c>
      <c r="E45" s="23" t="inlineStr">
        <is>
          <t>≥ วันนี้</t>
        </is>
      </c>
      <c r="F45" s="5" t="inlineStr">
        <is>
          <t>Effective date เป็นวันย้อนหลัง — บัญชีทำจ่ายตามวันนั้นไม่ได้แล้ว</t>
        </is>
      </c>
      <c r="G45" s="23" t="inlineStr">
        <is>
          <t>ใช้งาน</t>
        </is>
      </c>
      <c r="H45" s="19" t="inlineStr"/>
    </row>
    <row r="46" ht="28" customHeight="1">
      <c r="A46" s="25" t="inlineStr">
        <is>
          <t>S5</t>
        </is>
      </c>
      <c r="B46" s="17" t="inlineStr">
        <is>
          <t>ตอนบันทึก</t>
        </is>
      </c>
      <c r="C46" s="5" t="inlineStr">
        <is>
          <t>PO ที่มีใบเคลมค้าง ขอจ่ายไม่ได้</t>
        </is>
      </c>
      <c r="D46" s="23" t="inlineStr">
        <is>
          <t>บล็อก</t>
        </is>
      </c>
      <c r="E46" s="23" t="inlineStr">
        <is>
          <t>ไม่มีเคลมเปิดอยู่</t>
        </is>
      </c>
      <c r="F46" s="5" t="inlineStr">
        <is>
          <t>PO นี้มีใบเคลมค้าง — ขอจ่ายไม่ได้จนกว่าจะได้ใบลดหนี้</t>
        </is>
      </c>
      <c r="G46" s="23" t="inlineStr">
        <is>
          <t>ใช้งาน</t>
        </is>
      </c>
      <c r="H46" s="19" t="inlineStr"/>
    </row>
    <row r="47" ht="28" customHeight="1">
      <c r="A47" s="25" t="inlineStr">
        <is>
          <t>S6</t>
        </is>
      </c>
      <c r="B47" s="17" t="inlineStr">
        <is>
          <t>ตอนบันทึก</t>
        </is>
      </c>
      <c r="C47" s="5" t="inlineStr">
        <is>
          <t>เอกสารบังคับต้องครบก่อนขอจ่าย</t>
        </is>
      </c>
      <c r="D47" s="23" t="inlineStr">
        <is>
          <t>บล็อก</t>
        </is>
      </c>
      <c r="E47" s="23" t="inlineStr">
        <is>
          <t>ครบทุกใบที่ is_required</t>
        </is>
      </c>
      <c r="F47" s="5" t="inlineStr">
        <is>
          <t>ยังขาดเอกสาร: ใบแจ้งหนี้ — หัวหน้าจะตีกลับ</t>
        </is>
      </c>
      <c r="G47" s="23" t="inlineStr">
        <is>
          <t>ใช้งาน</t>
        </is>
      </c>
      <c r="H47" s="19" t="inlineStr"/>
    </row>
    <row r="48" ht="28" customHeight="1">
      <c r="A48" s="25" t="inlineStr">
        <is>
          <t>S7</t>
        </is>
      </c>
      <c r="B48" s="17" t="inlineStr">
        <is>
          <t>ตอนบันทึก</t>
        </is>
      </c>
      <c r="C48" s="5" t="inlineStr">
        <is>
          <t>ติ๊กประทับข้อความแล้ว ข้อความต้องไม่ว่าง</t>
        </is>
      </c>
      <c r="D48" s="23" t="inlineStr">
        <is>
          <t>บล็อก</t>
        </is>
      </c>
      <c r="E48" s="23" t="inlineStr">
        <is>
          <t>ต้องมีข้อความ</t>
        </is>
      </c>
      <c r="F48" s="5" t="inlineStr">
        <is>
          <t>ติ๊กประทับข้อความแล้วแต่ข้อความว่าง</t>
        </is>
      </c>
      <c r="G48" s="23" t="inlineStr">
        <is>
          <t>ใช้งาน</t>
        </is>
      </c>
      <c r="H48" s="19" t="inlineStr"/>
    </row>
    <row r="50">
      <c r="B50" s="10" t="inlineStr">
        <is>
          <t>กฎทั้งหมด</t>
        </is>
      </c>
      <c r="D50" s="25">
        <f>COUNTA(A5:A48)</f>
        <v/>
      </c>
    </row>
    <row r="51">
      <c r="B51" s="10" t="inlineStr">
        <is>
          <t>ระดับบล็อก</t>
        </is>
      </c>
      <c r="D51" s="25">
        <f>COUNTIF(D5:D48,"บล็อก")</f>
        <v/>
      </c>
    </row>
    <row r="52">
      <c r="B52" s="10" t="inlineStr">
        <is>
          <t>ระดับเตือน</t>
        </is>
      </c>
      <c r="D52" s="25">
        <f>COUNTIF(D5:D48,"เตือน")</f>
        <v/>
      </c>
    </row>
    <row r="53">
      <c r="B53" s="10" t="inlineStr">
        <is>
          <t>รอทีมยืนยันเกณฑ์</t>
        </is>
      </c>
      <c r="D53" s="25">
        <f>COUNTIF(G5:G48,"รอทีมยืนยันเกณฑ์")</f>
        <v/>
      </c>
    </row>
  </sheetData>
  <autoFilter ref="A4:H48"/>
  <mergeCells count="2">
    <mergeCell ref="A2:H2"/>
    <mergeCell ref="A1:H1"/>
  </mergeCells>
  <dataValidations count="2">
    <dataValidation sqref="D5:D48" showDropDown="0" showInputMessage="0" showErrorMessage="0" allowBlank="1" type="list">
      <formula1>'รายการเลือก (ระบบ)'!$F$2:$F$4</formula1>
    </dataValidation>
    <dataValidation sqref="G5:G48" showDropDown="0" showInputMessage="0" showErrorMessage="0" allowBlank="1" type="list">
      <formula1>'รายการเลือก (ระบบ)'!$G$2:$G$4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D33"/>
    <outlinePr summaryBelow="1" summaryRight="1"/>
    <pageSetUpPr/>
  </sheetPr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30" customWidth="1" min="11" max="11"/>
  </cols>
  <sheetData>
    <row r="1" ht="26" customHeight="1">
      <c r="A1" s="1" t="inlineStr">
        <is>
          <t>สิทธิ์แต่ละแผนก</t>
        </is>
      </c>
    </row>
    <row r="2" ht="30" customHeight="1">
      <c r="A2" s="2" t="inlineStr">
        <is>
          <t>C=สร้าง · R=ดู · U=แก้ · A=อนุมัติ · — =ไม่มีสิทธิ์ · แก้ได้ทั้งตาราง ถ้าเห็นว่าไม่ตรงกับงานจริง</t>
        </is>
      </c>
    </row>
    <row r="4" ht="30" customHeight="1">
      <c r="A4" s="16" t="inlineStr">
        <is>
          <t>หน้าที่</t>
        </is>
      </c>
      <c r="B4" s="16" t="inlineStr">
        <is>
          <t>SR</t>
        </is>
      </c>
      <c r="C4" s="16" t="inlineStr">
        <is>
          <t>SR Head</t>
        </is>
      </c>
      <c r="D4" s="16" t="inlineStr">
        <is>
          <t>QC</t>
        </is>
      </c>
      <c r="E4" s="16" t="inlineStr">
        <is>
          <t>QC Head</t>
        </is>
      </c>
      <c r="F4" s="16" t="inlineStr">
        <is>
          <t>LS</t>
        </is>
      </c>
      <c r="G4" s="16" t="inlineStr">
        <is>
          <t>WH</t>
        </is>
      </c>
      <c r="H4" s="16" t="inlineStr">
        <is>
          <t>AC</t>
        </is>
      </c>
      <c r="I4" s="16" t="inlineStr">
        <is>
          <t>AC Head</t>
        </is>
      </c>
      <c r="J4" s="16" t="inlineStr">
        <is>
          <t>GM</t>
        </is>
      </c>
      <c r="K4" s="16" t="inlineStr">
        <is>
          <t>หมายเหตุของทีม</t>
        </is>
      </c>
    </row>
    <row r="5" ht="24" customHeight="1">
      <c r="A5" s="10" t="inlineStr">
        <is>
          <t>สร้าง/แก้ PO</t>
        </is>
      </c>
      <c r="B5" s="23" t="inlineStr">
        <is>
          <t>C R U</t>
        </is>
      </c>
      <c r="C5" s="23" t="inlineStr">
        <is>
          <t>R U</t>
        </is>
      </c>
      <c r="D5" s="23" t="inlineStr">
        <is>
          <t>R</t>
        </is>
      </c>
      <c r="E5" s="23" t="inlineStr">
        <is>
          <t>R</t>
        </is>
      </c>
      <c r="F5" s="23" t="inlineStr">
        <is>
          <t>R</t>
        </is>
      </c>
      <c r="G5" s="23" t="inlineStr">
        <is>
          <t>R</t>
        </is>
      </c>
      <c r="H5" s="23" t="inlineStr">
        <is>
          <t>R</t>
        </is>
      </c>
      <c r="I5" s="23" t="inlineStr">
        <is>
          <t>R</t>
        </is>
      </c>
      <c r="J5" s="23" t="inlineStr">
        <is>
          <t>R</t>
        </is>
      </c>
      <c r="K5" s="19" t="inlineStr"/>
    </row>
    <row r="6" ht="24" customHeight="1">
      <c r="A6" s="10" t="inlineStr">
        <is>
          <t>ยอดเงิน / ราคา</t>
        </is>
      </c>
      <c r="B6" s="23" t="inlineStr">
        <is>
          <t>R U</t>
        </is>
      </c>
      <c r="C6" s="23" t="inlineStr">
        <is>
          <t>R U</t>
        </is>
      </c>
      <c r="D6" s="18" t="inlineStr">
        <is>
          <t>—</t>
        </is>
      </c>
      <c r="E6" s="18" t="inlineStr">
        <is>
          <t>—</t>
        </is>
      </c>
      <c r="F6" s="18" t="inlineStr">
        <is>
          <t>—</t>
        </is>
      </c>
      <c r="G6" s="18" t="inlineStr">
        <is>
          <t>—</t>
        </is>
      </c>
      <c r="H6" s="23" t="inlineStr">
        <is>
          <t>R U</t>
        </is>
      </c>
      <c r="I6" s="23" t="inlineStr">
        <is>
          <t>R U</t>
        </is>
      </c>
      <c r="J6" s="23" t="inlineStr">
        <is>
          <t>R</t>
        </is>
      </c>
      <c r="K6" s="19" t="inlineStr">
        <is>
          <t>QC/LS/WH ไม่เห็นช่องราคาเลย ไม่ใช่แค่แก้ไม่ได้</t>
        </is>
      </c>
    </row>
    <row r="7" ht="24" customHeight="1">
      <c r="A7" s="10" t="inlineStr">
        <is>
          <t>ใบขอราคา / ใบเสนอราคา</t>
        </is>
      </c>
      <c r="B7" s="23" t="inlineStr">
        <is>
          <t>C R U</t>
        </is>
      </c>
      <c r="C7" s="23" t="inlineStr">
        <is>
          <t>R U</t>
        </is>
      </c>
      <c r="D7" s="18" t="inlineStr">
        <is>
          <t>—</t>
        </is>
      </c>
      <c r="E7" s="18" t="inlineStr">
        <is>
          <t>—</t>
        </is>
      </c>
      <c r="F7" s="18" t="inlineStr">
        <is>
          <t>—</t>
        </is>
      </c>
      <c r="G7" s="18" t="inlineStr">
        <is>
          <t>—</t>
        </is>
      </c>
      <c r="H7" s="23" t="inlineStr">
        <is>
          <t>R</t>
        </is>
      </c>
      <c r="I7" s="23" t="inlineStr">
        <is>
          <t>R</t>
        </is>
      </c>
      <c r="J7" s="23" t="inlineStr">
        <is>
          <t>R</t>
        </is>
      </c>
      <c r="K7" s="19" t="inlineStr">
        <is>
          <t>เพิ่มใหม่ล่าสุด</t>
        </is>
      </c>
    </row>
    <row r="8" ht="24" customHeight="1">
      <c r="A8" s="10" t="inlineStr">
        <is>
          <t>อัพโหลด PI / PO</t>
        </is>
      </c>
      <c r="B8" s="23" t="inlineStr">
        <is>
          <t>C U</t>
        </is>
      </c>
      <c r="C8" s="23" t="inlineStr">
        <is>
          <t>C U</t>
        </is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—</t>
        </is>
      </c>
      <c r="H8" s="23" t="inlineStr">
        <is>
          <t>R</t>
        </is>
      </c>
      <c r="I8" s="23" t="inlineStr">
        <is>
          <t>R</t>
        </is>
      </c>
      <c r="J8" s="23" t="inlineStr">
        <is>
          <t>R</t>
        </is>
      </c>
      <c r="K8" s="19" t="inlineStr"/>
    </row>
    <row r="9" ht="24" customHeight="1">
      <c r="A9" s="10" t="inlineStr">
        <is>
          <t>อนุมัติ PO</t>
        </is>
      </c>
      <c r="B9" s="18" t="inlineStr">
        <is>
          <t>—</t>
        </is>
      </c>
      <c r="C9" s="23" t="inlineStr">
        <is>
          <t>A</t>
        </is>
      </c>
      <c r="D9" s="18" t="inlineStr">
        <is>
          <t>—</t>
        </is>
      </c>
      <c r="E9" s="18" t="inlineStr">
        <is>
          <t>—</t>
        </is>
      </c>
      <c r="F9" s="18" t="inlineStr">
        <is>
          <t>—</t>
        </is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23" t="inlineStr">
        <is>
          <t>A</t>
        </is>
      </c>
      <c r="K9" s="19" t="inlineStr"/>
    </row>
    <row r="10" ht="24" customHeight="1">
      <c r="A10" s="10" t="inlineStr">
        <is>
          <t>ผลตรวจ QC</t>
        </is>
      </c>
      <c r="B10" s="23" t="inlineStr">
        <is>
          <t>R</t>
        </is>
      </c>
      <c r="C10" s="23" t="inlineStr">
        <is>
          <t>R</t>
        </is>
      </c>
      <c r="D10" s="23" t="inlineStr">
        <is>
          <t>C U</t>
        </is>
      </c>
      <c r="E10" s="23" t="inlineStr">
        <is>
          <t>C U A</t>
        </is>
      </c>
      <c r="F10" s="23" t="inlineStr">
        <is>
          <t>R</t>
        </is>
      </c>
      <c r="G10" s="23" t="inlineStr">
        <is>
          <t>R</t>
        </is>
      </c>
      <c r="H10" s="23" t="inlineStr">
        <is>
          <t>R</t>
        </is>
      </c>
      <c r="I10" s="23" t="inlineStr">
        <is>
          <t>R</t>
        </is>
      </c>
      <c r="J10" s="23" t="inlineStr">
        <is>
          <t>R</t>
        </is>
      </c>
      <c r="K10" s="19" t="inlineStr"/>
    </row>
    <row r="11" ht="24" customHeight="1">
      <c r="A11" s="10" t="inlineStr">
        <is>
          <t>เปิดรหัสสินค้า</t>
        </is>
      </c>
      <c r="B11" s="23" t="inlineStr">
        <is>
          <t>C (ขอ)</t>
        </is>
      </c>
      <c r="C11" s="23" t="inlineStr">
        <is>
          <t>A</t>
        </is>
      </c>
      <c r="D11" s="18" t="inlineStr">
        <is>
          <t>—</t>
        </is>
      </c>
      <c r="E11" s="18" t="inlineStr">
        <is>
          <t>—</t>
        </is>
      </c>
      <c r="F11" s="23" t="inlineStr">
        <is>
          <t>U</t>
        </is>
      </c>
      <c r="G11" s="18" t="inlineStr">
        <is>
          <t>—</t>
        </is>
      </c>
      <c r="H11" s="18" t="inlineStr">
        <is>
          <t>—</t>
        </is>
      </c>
      <c r="I11" s="18" t="inlineStr">
        <is>
          <t>—</t>
        </is>
      </c>
      <c r="J11" s="18" t="inlineStr">
        <is>
          <t>—</t>
        </is>
      </c>
      <c r="K11" s="19" t="inlineStr">
        <is>
          <t>LS เป็นคนบันทึกรหัสจาก B1 กลับ</t>
        </is>
      </c>
    </row>
    <row r="12" ht="24" customHeight="1">
      <c r="A12" s="10" t="inlineStr">
        <is>
          <t>จองรถ</t>
        </is>
      </c>
      <c r="B12" s="23" t="inlineStr">
        <is>
          <t>R</t>
        </is>
      </c>
      <c r="C12" s="23" t="inlineStr">
        <is>
          <t>R</t>
        </is>
      </c>
      <c r="D12" s="23" t="inlineStr">
        <is>
          <t>R</t>
        </is>
      </c>
      <c r="E12" s="23" t="inlineStr">
        <is>
          <t>R</t>
        </is>
      </c>
      <c r="F12" s="23" t="inlineStr">
        <is>
          <t>C U</t>
        </is>
      </c>
      <c r="G12" s="23" t="inlineStr">
        <is>
          <t>R</t>
        </is>
      </c>
      <c r="H12" s="18" t="inlineStr">
        <is>
          <t>—</t>
        </is>
      </c>
      <c r="I12" s="18" t="inlineStr">
        <is>
          <t>—</t>
        </is>
      </c>
      <c r="J12" s="23" t="inlineStr">
        <is>
          <t>R</t>
        </is>
      </c>
      <c r="K12" s="19" t="inlineStr"/>
    </row>
    <row r="13" ht="24" customHeight="1">
      <c r="A13" s="10" t="inlineStr">
        <is>
          <t>GRPO</t>
        </is>
      </c>
      <c r="B13" s="23" t="inlineStr">
        <is>
          <t>R</t>
        </is>
      </c>
      <c r="C13" s="23" t="inlineStr">
        <is>
          <t>R</t>
        </is>
      </c>
      <c r="D13" s="23" t="inlineStr">
        <is>
          <t>R</t>
        </is>
      </c>
      <c r="E13" s="23" t="inlineStr">
        <is>
          <t>R</t>
        </is>
      </c>
      <c r="F13" s="23" t="inlineStr">
        <is>
          <t>R</t>
        </is>
      </c>
      <c r="G13" s="23" t="inlineStr">
        <is>
          <t>C U</t>
        </is>
      </c>
      <c r="H13" s="23" t="inlineStr">
        <is>
          <t>R</t>
        </is>
      </c>
      <c r="I13" s="23" t="inlineStr">
        <is>
          <t>R</t>
        </is>
      </c>
      <c r="J13" s="23" t="inlineStr">
        <is>
          <t>R</t>
        </is>
      </c>
      <c r="K13" s="19" t="inlineStr"/>
    </row>
    <row r="14" ht="24" customHeight="1">
      <c r="A14" s="10" t="inlineStr">
        <is>
          <t>ใบแจ้งหนี้</t>
        </is>
      </c>
      <c r="B14" s="23" t="inlineStr">
        <is>
          <t>R</t>
        </is>
      </c>
      <c r="C14" s="23" t="inlineStr">
        <is>
          <t>R</t>
        </is>
      </c>
      <c r="D14" s="18" t="inlineStr">
        <is>
          <t>—</t>
        </is>
      </c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23" t="inlineStr">
        <is>
          <t>C U</t>
        </is>
      </c>
      <c r="I14" s="23" t="inlineStr">
        <is>
          <t>R</t>
        </is>
      </c>
      <c r="J14" s="23" t="inlineStr">
        <is>
          <t>R</t>
        </is>
      </c>
      <c r="K14" s="19" t="inlineStr">
        <is>
          <t>รอยืนยันว่า SR หรือ AC เป็นคนอัพ</t>
        </is>
      </c>
    </row>
    <row r="15" ht="24" customHeight="1">
      <c r="A15" s="10" t="inlineStr">
        <is>
          <t>ตั้งเรื่องขอจ่าย</t>
        </is>
      </c>
      <c r="B15" s="18" t="inlineStr">
        <is>
          <t>—</t>
        </is>
      </c>
      <c r="C15" s="18" t="inlineStr">
        <is>
          <t>—</t>
        </is>
      </c>
      <c r="D15" s="18" t="inlineStr">
        <is>
          <t>—</t>
        </is>
      </c>
      <c r="E15" s="18" t="inlineStr">
        <is>
          <t>—</t>
        </is>
      </c>
      <c r="F15" s="18" t="inlineStr">
        <is>
          <t>—</t>
        </is>
      </c>
      <c r="G15" s="18" t="inlineStr">
        <is>
          <t>—</t>
        </is>
      </c>
      <c r="H15" s="23" t="inlineStr">
        <is>
          <t>C</t>
        </is>
      </c>
      <c r="I15" s="23" t="inlineStr">
        <is>
          <t>R</t>
        </is>
      </c>
      <c r="J15" s="23" t="inlineStr">
        <is>
          <t>R</t>
        </is>
      </c>
      <c r="K15" s="19" t="inlineStr"/>
    </row>
    <row r="16" ht="24" customHeight="1">
      <c r="A16" s="10" t="inlineStr">
        <is>
          <t>อนุมัติจ่าย</t>
        </is>
      </c>
      <c r="B16" s="18" t="inlineStr">
        <is>
          <t>—</t>
        </is>
      </c>
      <c r="C16" s="18" t="inlineStr">
        <is>
          <t>—</t>
        </is>
      </c>
      <c r="D16" s="18" t="inlineStr">
        <is>
          <t>—</t>
        </is>
      </c>
      <c r="E16" s="18" t="inlineStr">
        <is>
          <t>—</t>
        </is>
      </c>
      <c r="F16" s="18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23" t="inlineStr">
        <is>
          <t>A</t>
        </is>
      </c>
      <c r="J16" s="23" t="inlineStr">
        <is>
          <t>A</t>
        </is>
      </c>
      <c r="K16" s="19" t="inlineStr">
        <is>
          <t>เกินวงเงินต้องถึงผู้บริหาร</t>
        </is>
      </c>
    </row>
    <row r="17" ht="24" customHeight="1">
      <c r="A17" s="10" t="inlineStr">
        <is>
          <t>บันทึกการจ่าย + สลิป</t>
        </is>
      </c>
      <c r="B17" s="23" t="inlineStr">
        <is>
          <t>R</t>
        </is>
      </c>
      <c r="C17" s="23" t="inlineStr">
        <is>
          <t>R</t>
        </is>
      </c>
      <c r="D17" s="18" t="inlineStr">
        <is>
          <t>—</t>
        </is>
      </c>
      <c r="E17" s="18" t="inlineStr">
        <is>
          <t>—</t>
        </is>
      </c>
      <c r="F17" s="18" t="inlineStr">
        <is>
          <t>—</t>
        </is>
      </c>
      <c r="G17" s="18" t="inlineStr">
        <is>
          <t>—</t>
        </is>
      </c>
      <c r="H17" s="23" t="inlineStr">
        <is>
          <t>C U</t>
        </is>
      </c>
      <c r="I17" s="23" t="inlineStr">
        <is>
          <t>R U</t>
        </is>
      </c>
      <c r="J17" s="23" t="inlineStr">
        <is>
          <t>R</t>
        </is>
      </c>
      <c r="K17" s="19" t="inlineStr">
        <is>
          <t>ต้องคนละคนกับผู้อนุมัติ</t>
        </is>
      </c>
    </row>
    <row r="18" ht="24" customHeight="1">
      <c r="A18" s="10" t="inlineStr">
        <is>
          <t>กลับรายการจ่าย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—</t>
        </is>
      </c>
      <c r="G18" s="18" t="inlineStr">
        <is>
          <t>—</t>
        </is>
      </c>
      <c r="H18" s="18" t="inlineStr">
        <is>
          <t>—</t>
        </is>
      </c>
      <c r="I18" s="23" t="inlineStr">
        <is>
          <t>A</t>
        </is>
      </c>
      <c r="J18" s="23" t="inlineStr">
        <is>
          <t>R</t>
        </is>
      </c>
      <c r="K18" s="19" t="inlineStr">
        <is>
          <t>หัวหน้าบัญชีเท่านั้น</t>
        </is>
      </c>
    </row>
    <row r="19" ht="24" customHeight="1">
      <c r="A19" s="10" t="inlineStr">
        <is>
          <t>เคลม</t>
        </is>
      </c>
      <c r="B19" s="23" t="inlineStr">
        <is>
          <t>R U</t>
        </is>
      </c>
      <c r="C19" s="23" t="inlineStr">
        <is>
          <t>A</t>
        </is>
      </c>
      <c r="D19" s="23" t="inlineStr">
        <is>
          <t>C U</t>
        </is>
      </c>
      <c r="E19" s="23" t="inlineStr">
        <is>
          <t>A</t>
        </is>
      </c>
      <c r="F19" s="18" t="inlineStr">
        <is>
          <t>—</t>
        </is>
      </c>
      <c r="G19" s="23" t="inlineStr">
        <is>
          <t>R</t>
        </is>
      </c>
      <c r="H19" s="23" t="inlineStr">
        <is>
          <t>R</t>
        </is>
      </c>
      <c r="I19" s="23" t="inlineStr">
        <is>
          <t>R</t>
        </is>
      </c>
      <c r="J19" s="23" t="inlineStr">
        <is>
          <t>R</t>
        </is>
      </c>
      <c r="K19" s="19" t="inlineStr"/>
    </row>
    <row r="20" ht="24" customHeight="1">
      <c r="A20" s="10" t="inlineStr">
        <is>
          <t>ปลดล็อกเคลม</t>
        </is>
      </c>
      <c r="B20" s="18" t="inlineStr">
        <is>
          <t>—</t>
        </is>
      </c>
      <c r="C20" s="18" t="inlineStr">
        <is>
          <t>—</t>
        </is>
      </c>
      <c r="D20" s="18" t="inlineStr">
        <is>
          <t>—</t>
        </is>
      </c>
      <c r="E20" s="23" t="inlineStr">
        <is>
          <t>A</t>
        </is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9" t="inlineStr">
        <is>
          <t>QC ที่ตรวจ ปลดล็อกของตัวเองไม่ได้</t>
        </is>
      </c>
    </row>
    <row r="21" ht="24" customHeight="1">
      <c r="A21" s="10" t="inlineStr">
        <is>
          <t>ตรวจ 3 ทาง / ปิด PO</t>
        </is>
      </c>
      <c r="B21" s="23" t="inlineStr">
        <is>
          <t>R</t>
        </is>
      </c>
      <c r="C21" s="23" t="inlineStr">
        <is>
          <t>R</t>
        </is>
      </c>
      <c r="D21" s="18" t="inlineStr">
        <is>
          <t>—</t>
        </is>
      </c>
      <c r="E21" s="18" t="inlineStr">
        <is>
          <t>—</t>
        </is>
      </c>
      <c r="F21" s="18" t="inlineStr">
        <is>
          <t>—</t>
        </is>
      </c>
      <c r="G21" s="18" t="inlineStr">
        <is>
          <t>—</t>
        </is>
      </c>
      <c r="H21" s="23" t="inlineStr">
        <is>
          <t>C U</t>
        </is>
      </c>
      <c r="I21" s="23" t="inlineStr">
        <is>
          <t>A</t>
        </is>
      </c>
      <c r="J21" s="23" t="inlineStr">
        <is>
          <t>R</t>
        </is>
      </c>
      <c r="K21" s="19" t="inlineStr"/>
    </row>
    <row r="22" ht="24" customHeight="1">
      <c r="A22" s="10" t="inlineStr">
        <is>
          <t>ดูรายงานทั้งบริษัท</t>
        </is>
      </c>
      <c r="B22" s="18" t="inlineStr">
        <is>
          <t>—</t>
        </is>
      </c>
      <c r="C22" s="23" t="inlineStr">
        <is>
          <t>R</t>
        </is>
      </c>
      <c r="D22" s="18" t="inlineStr">
        <is>
          <t>—</t>
        </is>
      </c>
      <c r="E22" s="23" t="inlineStr">
        <is>
          <t>R</t>
        </is>
      </c>
      <c r="F22" s="18" t="inlineStr">
        <is>
          <t>—</t>
        </is>
      </c>
      <c r="G22" s="18" t="inlineStr">
        <is>
          <t>—</t>
        </is>
      </c>
      <c r="H22" s="23" t="inlineStr">
        <is>
          <t>R</t>
        </is>
      </c>
      <c r="I22" s="23" t="inlineStr">
        <is>
          <t>R</t>
        </is>
      </c>
      <c r="J22" s="23" t="inlineStr">
        <is>
          <t>R</t>
        </is>
      </c>
      <c r="K22" s="19" t="inlineStr"/>
    </row>
    <row r="23" ht="24" customHeight="1">
      <c r="A23" s="10" t="inlineStr">
        <is>
          <t>แจ้งปัญหา (bug)</t>
        </is>
      </c>
      <c r="B23" s="23" t="inlineStr">
        <is>
          <t>C</t>
        </is>
      </c>
      <c r="C23" s="23" t="inlineStr">
        <is>
          <t>C</t>
        </is>
      </c>
      <c r="D23" s="23" t="inlineStr">
        <is>
          <t>C</t>
        </is>
      </c>
      <c r="E23" s="23" t="inlineStr">
        <is>
          <t>C</t>
        </is>
      </c>
      <c r="F23" s="23" t="inlineStr">
        <is>
          <t>C</t>
        </is>
      </c>
      <c r="G23" s="23" t="inlineStr">
        <is>
          <t>C</t>
        </is>
      </c>
      <c r="H23" s="23" t="inlineStr">
        <is>
          <t>C</t>
        </is>
      </c>
      <c r="I23" s="23" t="inlineStr">
        <is>
          <t>C</t>
        </is>
      </c>
      <c r="J23" s="23" t="inlineStr">
        <is>
          <t>C</t>
        </is>
      </c>
      <c r="K23" s="19" t="inlineStr">
        <is>
          <t>ทุกคนแจ้งได้จากทุกหน้า</t>
        </is>
      </c>
    </row>
    <row r="24" ht="24" customHeight="1">
      <c r="A24" s="10" t="inlineStr">
        <is>
          <t>ตั้งค่าระบบ / ผู้ใช้</t>
        </is>
      </c>
      <c r="B24" s="18" t="inlineStr">
        <is>
          <t>—</t>
        </is>
      </c>
      <c r="C24" s="18" t="inlineStr">
        <is>
          <t>—</t>
        </is>
      </c>
      <c r="D24" s="18" t="inlineStr">
        <is>
          <t>—</t>
        </is>
      </c>
      <c r="E24" s="18" t="inlineStr">
        <is>
          <t>—</t>
        </is>
      </c>
      <c r="F24" s="18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—</t>
        </is>
      </c>
      <c r="J24" s="18" t="inlineStr">
        <is>
          <t>—</t>
        </is>
      </c>
      <c r="K24" s="19" t="inlineStr">
        <is>
          <t>IT/แอดมินเท่านั้น และไม่อยู่ในสายอนุมัติ</t>
        </is>
      </c>
    </row>
    <row r="26" ht="34" customHeight="1">
      <c r="A26" s="27" t="inlineStr">
        <is>
          <t>กฎแยกหน้าที่ที่บังคับด้วยโปรแกรม ไม่ใช่ด้วยความไว้ใจ: ผู้สร้างอนุมัติงานตัวเองไม่ได้ · ผู้ตั้งเรื่องขอจ่าย ≠ ผู้อนุมัติ ≠ ผู้บันทึกจ่าย · QC ที่ตรวจ ปลดล็อกเคลมของตัวเองไม่ได้ · แอดมินระบบไม่อยู่ในสายอนุมัติ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</row>
  </sheetData>
  <mergeCells count="3">
    <mergeCell ref="A2:K2"/>
    <mergeCell ref="A1:K1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D33"/>
    <outlinePr summaryBelow="1" summaryRight="1"/>
    <pageSetUpPr/>
  </sheetPr>
  <dimension ref="A1:F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2" customWidth="1" min="4" max="4"/>
    <col width="16" customWidth="1" min="5" max="5"/>
    <col width="32" customWidth="1" min="6" max="6"/>
  </cols>
  <sheetData>
    <row r="1" ht="26" customHeight="1">
      <c r="A1" s="1" t="inlineStr">
        <is>
          <t>การแจ้งเตือน</t>
        </is>
      </c>
    </row>
    <row r="2" ht="30" customHeight="1">
      <c r="A2" s="2" t="inlineStr">
        <is>
          <t>ภายในใช้ Lark อย่างเดียว (ตัดสินใจแล้ว) · ชั้น 1 ในเว็บทุกเรื่อง · ชั้น 2 Lark เฉพาะที่ต้องลงมือ · ชั้น 3 อีเมลสรุป</t>
        </is>
      </c>
    </row>
    <row r="4" ht="30" customHeight="1">
      <c r="A4" s="16" t="inlineStr">
        <is>
          <t>เหตุการณ์</t>
        </is>
      </c>
      <c r="B4" s="16" t="inlineStr">
        <is>
          <t>ใครได้รับ</t>
        </is>
      </c>
      <c r="C4" s="16" t="inlineStr">
        <is>
          <t>ช่องทาง</t>
        </is>
      </c>
      <c r="D4" s="16" t="inlineStr">
        <is>
          <t>เมื่อไหร่</t>
        </is>
      </c>
      <c r="E4" s="16" t="inlineStr">
        <is>
          <t>เปิดใช้</t>
        </is>
      </c>
      <c r="F4" s="16" t="inlineStr">
        <is>
          <t>หมายเหตุของทีม</t>
        </is>
      </c>
    </row>
    <row r="5" ht="24" customHeight="1">
      <c r="A5" s="5" t="inlineStr">
        <is>
          <t>งานเข้าคิวของคุณ</t>
        </is>
      </c>
      <c r="B5" s="5" t="inlineStr">
        <is>
          <t>เจ้าของขั้นถัดไป</t>
        </is>
      </c>
      <c r="C5" s="23" t="inlineStr">
        <is>
          <t>1 + 2</t>
        </is>
      </c>
      <c r="D5" s="23" t="inlineStr">
        <is>
          <t>ทันที</t>
        </is>
      </c>
      <c r="E5" s="23" t="inlineStr">
        <is>
          <t>TRUE</t>
        </is>
      </c>
      <c r="F5" s="19" t="inlineStr">
        <is>
          <t>ปิดไม่ได้ — กันคนอ้างว่าไม่รู้</t>
        </is>
      </c>
    </row>
    <row r="6" ht="24" customHeight="1">
      <c r="A6" s="5" t="inlineStr">
        <is>
          <t>เอกสารที่คุณต้องอัพยังไม่มา</t>
        </is>
      </c>
      <c r="B6" s="5" t="inlineStr">
        <is>
          <t>เจ้าของเอกสาร</t>
        </is>
      </c>
      <c r="C6" s="23" t="inlineStr">
        <is>
          <t>1 + 2</t>
        </is>
      </c>
      <c r="D6" s="23" t="inlineStr">
        <is>
          <t>ทุกเช้า 08:30</t>
        </is>
      </c>
      <c r="E6" s="23" t="inlineStr">
        <is>
          <t>TRUE</t>
        </is>
      </c>
      <c r="F6" s="19" t="inlineStr"/>
    </row>
    <row r="7" ht="24" customHeight="1">
      <c r="A7" s="5" t="inlineStr">
        <is>
          <t>ค้างเกิน SLA 100%</t>
        </is>
      </c>
      <c r="B7" s="5" t="inlineStr">
        <is>
          <t>ผู้ถืองาน</t>
        </is>
      </c>
      <c r="C7" s="23" t="inlineStr">
        <is>
          <t>1 + 2</t>
        </is>
      </c>
      <c r="D7" s="23" t="inlineStr">
        <is>
          <t>วันละครั้ง</t>
        </is>
      </c>
      <c r="E7" s="23" t="inlineStr">
        <is>
          <t>TRUE</t>
        </is>
      </c>
      <c r="F7" s="19" t="inlineStr"/>
    </row>
    <row r="8" ht="24" customHeight="1">
      <c r="A8" s="5" t="inlineStr">
        <is>
          <t>ค้างเกิน SLA 150%</t>
        </is>
      </c>
      <c r="B8" s="5" t="inlineStr">
        <is>
          <t>ผู้ถืองาน + หัวหน้าแผนก</t>
        </is>
      </c>
      <c r="C8" s="23" t="inlineStr">
        <is>
          <t>1 + 2 + 3</t>
        </is>
      </c>
      <c r="D8" s="23" t="inlineStr">
        <is>
          <t>วันละครั้ง</t>
        </is>
      </c>
      <c r="E8" s="23" t="inlineStr">
        <is>
          <t>TRUE</t>
        </is>
      </c>
      <c r="F8" s="19" t="inlineStr"/>
    </row>
    <row r="9" ht="24" customHeight="1">
      <c r="A9" s="5" t="inlineStr">
        <is>
          <t>ค้างเกิน SLA 200%</t>
        </is>
      </c>
      <c r="B9" s="5" t="inlineStr">
        <is>
          <t>+ ผู้บริหาร (ในสรุปรายวัน)</t>
        </is>
      </c>
      <c r="C9" s="23" t="inlineStr">
        <is>
          <t>3 อีเมล</t>
        </is>
      </c>
      <c r="D9" s="23" t="inlineStr">
        <is>
          <t>08:30</t>
        </is>
      </c>
      <c r="E9" s="23" t="inlineStr">
        <is>
          <t>TRUE</t>
        </is>
      </c>
      <c r="F9" s="19" t="inlineStr"/>
    </row>
    <row r="10" ht="24" customHeight="1">
      <c r="A10" s="5" t="inlineStr">
        <is>
          <t>รออนุมัติ</t>
        </is>
      </c>
      <c r="B10" s="5" t="inlineStr">
        <is>
          <t>ผู้อนุมัติตามวงเงิน</t>
        </is>
      </c>
      <c r="C10" s="23" t="inlineStr">
        <is>
          <t>1 + 2</t>
        </is>
      </c>
      <c r="D10" s="23" t="inlineStr">
        <is>
          <t>ทันที</t>
        </is>
      </c>
      <c r="E10" s="23" t="inlineStr">
        <is>
          <t>TRUE</t>
        </is>
      </c>
      <c r="F10" s="19" t="inlineStr"/>
    </row>
    <row r="11" ht="24" customHeight="1">
      <c r="A11" s="5" t="inlineStr">
        <is>
          <t>ตรวจรับไม่ผ่าน / เปิดเคลม</t>
        </is>
      </c>
      <c r="B11" s="5" t="inlineStr">
        <is>
          <t>SR + AC + หัวหน้า QC</t>
        </is>
      </c>
      <c r="C11" s="23" t="inlineStr">
        <is>
          <t>1 + 2</t>
        </is>
      </c>
      <c r="D11" s="23" t="inlineStr">
        <is>
          <t>ทันที</t>
        </is>
      </c>
      <c r="E11" s="23" t="inlineStr">
        <is>
          <t>TRUE</t>
        </is>
      </c>
      <c r="F11" s="19" t="inlineStr">
        <is>
          <t>แจ้งพร้อมกัน 3 แผนก</t>
        </is>
      </c>
    </row>
    <row r="12" ht="24" customHeight="1">
      <c r="A12" s="5" t="inlineStr">
        <is>
          <t>ได้รับใบลดหนี้ → ปลดล็อกจ่าย</t>
        </is>
      </c>
      <c r="B12" s="5" t="inlineStr">
        <is>
          <t>AC</t>
        </is>
      </c>
      <c r="C12" s="23" t="inlineStr">
        <is>
          <t>1 + 2</t>
        </is>
      </c>
      <c r="D12" s="23" t="inlineStr">
        <is>
          <t>ทันที</t>
        </is>
      </c>
      <c r="E12" s="23" t="inlineStr">
        <is>
          <t>TRUE</t>
        </is>
      </c>
      <c r="F12" s="19" t="inlineStr"/>
    </row>
    <row r="13" ht="24" customHeight="1">
      <c r="A13" s="5" t="inlineStr">
        <is>
          <t>งวดจ่ายครบกำหนดใน 3 วัน</t>
        </is>
      </c>
      <c r="B13" s="5" t="inlineStr">
        <is>
          <t>AC</t>
        </is>
      </c>
      <c r="C13" s="23" t="inlineStr">
        <is>
          <t>1 + 3</t>
        </is>
      </c>
      <c r="D13" s="23" t="inlineStr">
        <is>
          <t>08:30</t>
        </is>
      </c>
      <c r="E13" s="23" t="inlineStr">
        <is>
          <t>TRUE</t>
        </is>
      </c>
      <c r="F13" s="19" t="inlineStr"/>
    </row>
    <row r="14" ht="24" customHeight="1">
      <c r="A14" s="5" t="inlineStr">
        <is>
          <t>งวดเลยกำหนดแล้วยังไม่จ่าย</t>
        </is>
      </c>
      <c r="B14" s="5" t="inlineStr">
        <is>
          <t>AC + หัวหน้าบัญชี</t>
        </is>
      </c>
      <c r="C14" s="23" t="inlineStr">
        <is>
          <t>1 + 2 + 3</t>
        </is>
      </c>
      <c r="D14" s="23" t="inlineStr">
        <is>
          <t>ทุกวัน 08:30</t>
        </is>
      </c>
      <c r="E14" s="23" t="inlineStr">
        <is>
          <t>TRUE</t>
        </is>
      </c>
      <c r="F14" s="19" t="inlineStr"/>
    </row>
    <row r="15" ht="24" customHeight="1">
      <c r="A15" s="5" t="inlineStr">
        <is>
          <t>ตั้งเรื่องขอจ่าย</t>
        </is>
      </c>
      <c r="B15" s="5" t="inlineStr">
        <is>
          <t>ผู้อนุมัติตามวงเงิน</t>
        </is>
      </c>
      <c r="C15" s="23" t="inlineStr">
        <is>
          <t>1 + 2</t>
        </is>
      </c>
      <c r="D15" s="23" t="inlineStr">
        <is>
          <t>ทันที</t>
        </is>
      </c>
      <c r="E15" s="23" t="inlineStr">
        <is>
          <t>TRUE</t>
        </is>
      </c>
      <c r="F15" s="19" t="inlineStr"/>
    </row>
    <row r="16" ht="24" customHeight="1">
      <c r="A16" s="5" t="inlineStr">
        <is>
          <t>อนุมัติ / ตีกลับคำขอจ่าย</t>
        </is>
      </c>
      <c r="B16" s="5" t="inlineStr">
        <is>
          <t>ผู้ตั้งเรื่อง</t>
        </is>
      </c>
      <c r="C16" s="23" t="inlineStr">
        <is>
          <t>1 + 2</t>
        </is>
      </c>
      <c r="D16" s="23" t="inlineStr">
        <is>
          <t>ทันที</t>
        </is>
      </c>
      <c r="E16" s="23" t="inlineStr">
        <is>
          <t>TRUE</t>
        </is>
      </c>
      <c r="F16" s="19" t="inlineStr"/>
    </row>
    <row r="17" ht="24" customHeight="1">
      <c r="A17" s="5" t="inlineStr">
        <is>
          <t>บันทึกจ่ายแล้ว</t>
        </is>
      </c>
      <c r="B17" s="5" t="inlineStr">
        <is>
          <t>SR ผู้ดูแล PO</t>
        </is>
      </c>
      <c r="C17" s="23" t="inlineStr">
        <is>
          <t>1 + 2</t>
        </is>
      </c>
      <c r="D17" s="23" t="inlineStr">
        <is>
          <t>ทันที</t>
        </is>
      </c>
      <c r="E17" s="23" t="inlineStr">
        <is>
          <t>TRUE</t>
        </is>
      </c>
      <c r="F17" s="19" t="inlineStr"/>
    </row>
    <row r="18" ht="24" customHeight="1">
      <c r="A18" s="5" t="inlineStr">
        <is>
          <t>บันทึกจ่ายแล้ว — แจ้งผู้ขาย</t>
        </is>
      </c>
      <c r="B18" s="5" t="inlineStr">
        <is>
          <t>ผู้ขาย (อีเมล + สลิป)</t>
        </is>
      </c>
      <c r="C18" s="23" t="inlineStr">
        <is>
          <t>3 อีเมล</t>
        </is>
      </c>
      <c r="D18" s="23" t="inlineStr">
        <is>
          <t>ทันที</t>
        </is>
      </c>
      <c r="E18" s="23" t="inlineStr">
        <is>
          <t>TRUE</t>
        </is>
      </c>
      <c r="F18" s="19" t="inlineStr">
        <is>
          <t>ตัดขั้นที่ AC ส่งสลิปให้ SR แล้ว SR ส่งต่อ</t>
        </is>
      </c>
    </row>
    <row r="19" ht="24" customHeight="1">
      <c r="A19" s="5" t="inlineStr">
        <is>
          <t>ธนาคารตีกลับ</t>
        </is>
      </c>
      <c r="B19" s="5" t="inlineStr">
        <is>
          <t>AC + หัวหน้าบัญชี</t>
        </is>
      </c>
      <c r="C19" s="23" t="inlineStr">
        <is>
          <t>1 + 2</t>
        </is>
      </c>
      <c r="D19" s="23" t="inlineStr">
        <is>
          <t>ทันที</t>
        </is>
      </c>
      <c r="E19" s="23" t="inlineStr">
        <is>
          <t>TRUE</t>
        </is>
      </c>
      <c r="F19" s="19" t="inlineStr"/>
    </row>
    <row r="20" ht="24" customHeight="1">
      <c r="A20" s="5" t="inlineStr">
        <is>
          <t>จ่ายครบทุกงวด</t>
        </is>
      </c>
      <c r="B20" s="5" t="inlineStr">
        <is>
          <t>SR + AC</t>
        </is>
      </c>
      <c r="C20" s="23" t="inlineStr">
        <is>
          <t>1 + 2</t>
        </is>
      </c>
      <c r="D20" s="23" t="inlineStr">
        <is>
          <t>ทันที</t>
        </is>
      </c>
      <c r="E20" s="23" t="inlineStr">
        <is>
          <t>TRUE</t>
        </is>
      </c>
      <c r="F20" s="19" t="inlineStr"/>
    </row>
    <row r="21" ht="24" customHeight="1">
      <c r="A21" s="5" t="inlineStr">
        <is>
          <t>ใบเสร็จตัวจริงยังไม่มาเกิน 15 วัน</t>
        </is>
      </c>
      <c r="B21" s="5" t="inlineStr">
        <is>
          <t>AC</t>
        </is>
      </c>
      <c r="C21" s="23" t="inlineStr">
        <is>
          <t>1 + 2</t>
        </is>
      </c>
      <c r="D21" s="23" t="inlineStr">
        <is>
          <t>ทุก 7 วัน</t>
        </is>
      </c>
      <c r="E21" s="23" t="inlineStr">
        <is>
          <t>TRUE</t>
        </is>
      </c>
      <c r="F21" s="19" t="inlineStr"/>
    </row>
    <row r="22" ht="24" customHeight="1">
      <c r="A22" s="5" t="inlineStr">
        <is>
          <t>การตรวจสอบไม่ผ่าน (ยอดไม่ตรง)</t>
        </is>
      </c>
      <c r="B22" s="5" t="inlineStr">
        <is>
          <t>ผู้กด + แผนกที่ต้องแก้</t>
        </is>
      </c>
      <c r="C22" s="23" t="inlineStr">
        <is>
          <t>1 + 2</t>
        </is>
      </c>
      <c r="D22" s="23" t="inlineStr">
        <is>
          <t>ทันที</t>
        </is>
      </c>
      <c r="E22" s="23" t="inlineStr">
        <is>
          <t>TRUE</t>
        </is>
      </c>
      <c r="F22" s="19" t="inlineStr"/>
    </row>
    <row r="23" ht="24" customHeight="1">
      <c r="A23" s="5" t="inlineStr">
        <is>
          <t>PO ปิดแล้ว</t>
        </is>
      </c>
      <c r="B23" s="5" t="inlineStr">
        <is>
          <t>ทุกคนที่เคยแตะ PO นี้</t>
        </is>
      </c>
      <c r="C23" s="23" t="inlineStr">
        <is>
          <t>1 ในเว็บ</t>
        </is>
      </c>
      <c r="D23" s="23" t="inlineStr">
        <is>
          <t>ทันที</t>
        </is>
      </c>
      <c r="E23" s="23" t="inlineStr">
        <is>
          <t>TRUE</t>
        </is>
      </c>
      <c r="F23" s="19" t="inlineStr"/>
    </row>
    <row r="24" ht="24" customHeight="1">
      <c r="A24" s="5" t="inlineStr">
        <is>
          <t>สรุปงานค้างของฉัน</t>
        </is>
      </c>
      <c r="B24" s="5" t="inlineStr">
        <is>
          <t>ทุกคน</t>
        </is>
      </c>
      <c r="C24" s="23" t="inlineStr">
        <is>
          <t>3 อีเมล</t>
        </is>
      </c>
      <c r="D24" s="23" t="inlineStr">
        <is>
          <t>08:30 จ–ศ</t>
        </is>
      </c>
      <c r="E24" s="23" t="inlineStr">
        <is>
          <t>TRUE</t>
        </is>
      </c>
      <c r="F24" s="19" t="inlineStr">
        <is>
          <t>ไม่มีงานค้าง = ไม่ส่ง</t>
        </is>
      </c>
    </row>
    <row r="25" ht="24" customHeight="1">
      <c r="A25" s="5" t="inlineStr">
        <is>
          <t>แจ้งบั๊กระดับ «ทำงานต่อไม่ได้»</t>
        </is>
      </c>
      <c r="B25" s="5" t="inlineStr">
        <is>
          <t>กลุ่ม Lark ของ IT</t>
        </is>
      </c>
      <c r="C25" s="23" t="inlineStr">
        <is>
          <t>2 Lark</t>
        </is>
      </c>
      <c r="D25" s="23" t="inlineStr">
        <is>
          <t>ทันที</t>
        </is>
      </c>
      <c r="E25" s="23" t="inlineStr">
        <is>
          <t>TRUE</t>
        </is>
      </c>
      <c r="F25" s="19" t="inlineStr"/>
    </row>
    <row r="26" ht="24" customHeight="1">
      <c r="A26" s="5" t="inlineStr">
        <is>
          <t>Lark ส่งไม่สำเร็จครบ 5 ครั้ง</t>
        </is>
      </c>
      <c r="B26" s="5" t="inlineStr">
        <is>
          <t>ผู้รับเดิม (ผ่านอีเมลแทน)</t>
        </is>
      </c>
      <c r="C26" s="23" t="inlineStr">
        <is>
          <t>3 อีเมล</t>
        </is>
      </c>
      <c r="D26" s="23" t="inlineStr">
        <is>
          <t>อัตโนมัติ</t>
        </is>
      </c>
      <c r="E26" s="23" t="inlineStr">
        <is>
          <t>TRUE</t>
        </is>
      </c>
      <c r="F26" s="19" t="inlineStr">
        <is>
          <t>จำเป็นเพราะไม่มีช่องทางที่สองแล้ว</t>
        </is>
      </c>
    </row>
    <row r="27" ht="24" customHeight="1">
      <c r="A27" s="5" t="inlineStr">
        <is>
          <t>Lark ล้มเหลว &gt; 10 ข้อความใน 15 นาที</t>
        </is>
      </c>
      <c r="B27" s="5" t="inlineStr">
        <is>
          <t>แอดมินระบบ + แบนเนอร์ในเว็บ</t>
        </is>
      </c>
      <c r="C27" s="23" t="inlineStr">
        <is>
          <t>1 + 3</t>
        </is>
      </c>
      <c r="D27" s="23" t="inlineStr">
        <is>
          <t>ทันที</t>
        </is>
      </c>
      <c r="E27" s="23" t="inlineStr">
        <is>
          <t>TRUE</t>
        </is>
      </c>
      <c r="F27" s="19" t="inlineStr"/>
    </row>
    <row r="28" ht="24" customHeight="1">
      <c r="A28" s="5" t="inlineStr">
        <is>
          <t>ดึงข้อมูลจาก B1 ล้มเหลว</t>
        </is>
      </c>
      <c r="B28" s="5" t="inlineStr">
        <is>
          <t>แอดมินระบบ</t>
        </is>
      </c>
      <c r="C28" s="23" t="inlineStr">
        <is>
          <t>1 + 2</t>
        </is>
      </c>
      <c r="D28" s="23" t="inlineStr">
        <is>
          <t>ทันที</t>
        </is>
      </c>
      <c r="E28" s="23" t="inlineStr">
        <is>
          <t>TRUE</t>
        </is>
      </c>
      <c r="F28" s="19" t="inlineStr"/>
    </row>
    <row r="30">
      <c r="A30" s="28" t="inlineStr">
        <is>
          <t>กติกากันสแปม (สำคัญกว่าตัวระบบแจ้งเตือนเอง)</t>
        </is>
      </c>
    </row>
    <row r="31">
      <c r="A31" s="5" t="inlineStr">
        <is>
          <t>• ไม่แจ้งการกระทำของตัวเอง — ตัดข้อความไปได้ประมาณ 40%</t>
        </is>
      </c>
      <c r="B31" s="12" t="n"/>
      <c r="C31" s="12" t="n"/>
      <c r="D31" s="12" t="n"/>
      <c r="E31" s="12" t="n"/>
      <c r="F31" s="13" t="n"/>
    </row>
    <row r="32">
      <c r="A32" s="5" t="inlineStr">
        <is>
          <t>• เรื่องเดิมไม่เด้งซ้ำใน 24 ชม. (dedupe_key = เหตุการณ์ + เอกสาร + ผู้รับ + วัน)</t>
        </is>
      </c>
      <c r="B32" s="12" t="n"/>
      <c r="C32" s="12" t="n"/>
      <c r="D32" s="12" t="n"/>
      <c r="E32" s="12" t="n"/>
      <c r="F32" s="13" t="n"/>
    </row>
    <row r="33">
      <c r="A33" s="5" t="inlineStr">
        <is>
          <t>• เกิน 3 เรื่องใน 10 นาที รวมเป็นข้อความเดียว</t>
        </is>
      </c>
      <c r="B33" s="12" t="n"/>
      <c r="C33" s="12" t="n"/>
      <c r="D33" s="12" t="n"/>
      <c r="E33" s="12" t="n"/>
      <c r="F33" s="13" t="n"/>
    </row>
    <row r="34">
      <c r="A34" s="5" t="inlineStr">
        <is>
          <t>• เงียบ 20:00–07:00 และวันหยุด ยกเว้นเรื่องด่วน</t>
        </is>
      </c>
      <c r="B34" s="12" t="n"/>
      <c r="C34" s="12" t="n"/>
      <c r="D34" s="12" t="n"/>
      <c r="E34" s="12" t="n"/>
      <c r="F34" s="13" t="n"/>
    </row>
    <row r="35">
      <c r="A35" s="5" t="inlineStr">
        <is>
          <t>• ผู้ใช้ปิดรายประเภทได้เอง ยกเว้น «งานเข้าคิวของคุณ» ที่ปิดไม่ได้</t>
        </is>
      </c>
      <c r="B35" s="12" t="n"/>
      <c r="C35" s="12" t="n"/>
      <c r="D35" s="12" t="n"/>
      <c r="E35" s="12" t="n"/>
      <c r="F35" s="13" t="n"/>
    </row>
  </sheetData>
  <mergeCells count="7">
    <mergeCell ref="A2:F2"/>
    <mergeCell ref="A33:F33"/>
    <mergeCell ref="A1:F1"/>
    <mergeCell ref="A32:F32"/>
    <mergeCell ref="A31:F31"/>
    <mergeCell ref="A34:F34"/>
    <mergeCell ref="A35:F35"/>
  </mergeCells>
  <dataValidations count="1">
    <dataValidation sqref="C5:C28" showDropDown="0" showInputMessage="0" showErrorMessage="0" allowBlank="1" type="list">
      <formula1>'รายการเลือก (ระบบ)'!$K$2:$K$7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D33"/>
    <outlinePr summaryBelow="1" summaryRight="1"/>
    <pageSetUpPr/>
  </sheetPr>
  <dimension ref="A1:F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4" customWidth="1" min="4" max="4"/>
    <col width="22" customWidth="1" min="5" max="5"/>
    <col width="30" customWidth="1" min="6" max="6"/>
  </cols>
  <sheetData>
    <row r="1" ht="26" customHeight="1">
      <c r="A1" s="1" t="inlineStr">
        <is>
          <t>สถานะทั้งหมดของแต่ละเอกสาร</t>
        </is>
      </c>
    </row>
    <row r="2" ht="30" customHeight="1">
      <c r="A2" s="2" t="inlineStr">
        <is>
          <t>สถานะไหนเปลี่ยนไปไหนได้บ้าง และใครเป็นคนทำให้เปลี่ยน</t>
        </is>
      </c>
    </row>
    <row r="4" ht="30" customHeight="1">
      <c r="A4" s="16" t="inlineStr">
        <is>
          <t>เอกสาร</t>
        </is>
      </c>
      <c r="B4" s="16" t="inlineStr">
        <is>
          <t>สถานะ</t>
        </is>
      </c>
      <c r="C4" s="16" t="inlineStr">
        <is>
          <t>หมายความว่า</t>
        </is>
      </c>
      <c r="D4" s="16" t="inlineStr">
        <is>
          <t>เปลี่ยนไปสถานะไหนได้</t>
        </is>
      </c>
      <c r="E4" s="16" t="inlineStr">
        <is>
          <t>ใครทำให้เปลี่ยน</t>
        </is>
      </c>
      <c r="F4" s="16" t="inlineStr">
        <is>
          <t>หมายเหตุของทีม</t>
        </is>
      </c>
    </row>
    <row r="5" ht="24" customHeight="1">
      <c r="A5" s="10" t="inlineStr">
        <is>
          <t>Purchase_Orders</t>
        </is>
      </c>
      <c r="B5" s="6" t="inlineStr">
        <is>
          <t>ACTIVE</t>
        </is>
      </c>
      <c r="C5" s="5" t="inlineStr">
        <is>
          <t>กำลังดำเนินการ</t>
        </is>
      </c>
      <c r="D5" s="19" t="inlineStr">
        <is>
          <t>COMPLETED / CANCELLED</t>
        </is>
      </c>
      <c r="E5" s="19" t="inlineStr">
        <is>
          <t>ระบบ / SR</t>
        </is>
      </c>
      <c r="F5" s="19" t="inlineStr"/>
    </row>
    <row r="6" ht="24" customHeight="1">
      <c r="A6" s="5" t="inlineStr"/>
      <c r="B6" s="6" t="inlineStr">
        <is>
          <t>COMPLETED</t>
        </is>
      </c>
      <c r="C6" s="5" t="inlineStr">
        <is>
          <t>ปิดบัญชีแล้ว</t>
        </is>
      </c>
      <c r="D6" s="19" t="inlineStr">
        <is>
          <t>(สิ้นสุด)</t>
        </is>
      </c>
      <c r="E6" s="19" t="inlineStr">
        <is>
          <t>AC</t>
        </is>
      </c>
      <c r="F6" s="19" t="inlineStr">
        <is>
          <t>ปิดได้เมื่อผ่านกฎ V13–V18 ครบ</t>
        </is>
      </c>
    </row>
    <row r="7" ht="24" customHeight="1">
      <c r="A7" s="5" t="inlineStr"/>
      <c r="B7" s="6" t="inlineStr">
        <is>
          <t>CANCELLED</t>
        </is>
      </c>
      <c r="C7" s="5" t="inlineStr">
        <is>
          <t>ยกเลิก</t>
        </is>
      </c>
      <c r="D7" s="19" t="inlineStr">
        <is>
          <t>(สิ้นสุด)</t>
        </is>
      </c>
      <c r="E7" s="19" t="inlineStr">
        <is>
          <t>SR + หัวหน้า</t>
        </is>
      </c>
      <c r="F7" s="19" t="inlineStr"/>
    </row>
    <row r="8" ht="24" customHeight="1">
      <c r="A8" s="10" t="inlineStr">
        <is>
          <t>PO_Payments</t>
        </is>
      </c>
      <c r="B8" s="6" t="inlineStr">
        <is>
          <t>PENDING</t>
        </is>
      </c>
      <c r="C8" s="5" t="inlineStr">
        <is>
          <t>รอตั้งเรื่องขอจ่าย</t>
        </is>
      </c>
      <c r="D8" s="19" t="inlineStr">
        <is>
          <t>REQUESTED / BLOCKED / CANCELLED</t>
        </is>
      </c>
      <c r="E8" s="19" t="inlineStr">
        <is>
          <t>ระบบ</t>
        </is>
      </c>
      <c r="F8" s="19" t="inlineStr"/>
    </row>
    <row r="9" ht="24" customHeight="1">
      <c r="A9" s="5" t="inlineStr"/>
      <c r="B9" s="6" t="inlineStr">
        <is>
          <t>BLOCKED</t>
        </is>
      </c>
      <c r="C9" s="5" t="inlineStr">
        <is>
          <t>ล็อกเพราะมีเคลมค้าง</t>
        </is>
      </c>
      <c r="D9" s="19" t="inlineStr">
        <is>
          <t>PENDING</t>
        </is>
      </c>
      <c r="E9" s="19" t="inlineStr">
        <is>
          <t>ระบบ (เมื่อได้ใบลดหนี้)</t>
        </is>
      </c>
      <c r="F9" s="19" t="inlineStr"/>
    </row>
    <row r="10" ht="24" customHeight="1">
      <c r="A10" s="5" t="inlineStr"/>
      <c r="B10" s="6" t="inlineStr">
        <is>
          <t>REQUESTED</t>
        </is>
      </c>
      <c r="C10" s="5" t="inlineStr">
        <is>
          <t>ตั้งเรื่องแล้ว รออนุมัติ</t>
        </is>
      </c>
      <c r="D10" s="19" t="inlineStr">
        <is>
          <t>APPROVED / PENDING</t>
        </is>
      </c>
      <c r="E10" s="19" t="inlineStr">
        <is>
          <t>AC ตั้ง · ผู้อนุมัติตัดสิน</t>
        </is>
      </c>
      <c r="F10" s="19" t="inlineStr"/>
    </row>
    <row r="11" ht="24" customHeight="1">
      <c r="A11" s="5" t="inlineStr"/>
      <c r="B11" s="6" t="inlineStr">
        <is>
          <t>APPROVED</t>
        </is>
      </c>
      <c r="C11" s="5" t="inlineStr">
        <is>
          <t>อนุมัติแล้ว รอทำจ่าย</t>
        </is>
      </c>
      <c r="D11" s="19" t="inlineStr">
        <is>
          <t>PAID / PENDING</t>
        </is>
      </c>
      <c r="E11" s="19" t="inlineStr">
        <is>
          <t>หัวหน้าบัญชี / ผู้บริหาร</t>
        </is>
      </c>
      <c r="F11" s="19" t="inlineStr"/>
    </row>
    <row r="12" ht="24" customHeight="1">
      <c r="A12" s="5" t="inlineStr"/>
      <c r="B12" s="6" t="inlineStr">
        <is>
          <t>PAID</t>
        </is>
      </c>
      <c r="C12" s="5" t="inlineStr">
        <is>
          <t>จ่ายแล้ว มีสลิป</t>
        </is>
      </c>
      <c r="D12" s="19" t="inlineStr">
        <is>
          <t>FAILED / VOID</t>
        </is>
      </c>
      <c r="E12" s="19" t="inlineStr">
        <is>
          <t>AC (คนละคนกับผู้อนุมัติ)</t>
        </is>
      </c>
      <c r="F12" s="19" t="inlineStr"/>
    </row>
    <row r="13" ht="24" customHeight="1">
      <c r="A13" s="5" t="inlineStr"/>
      <c r="B13" s="6" t="inlineStr">
        <is>
          <t>FAILED</t>
        </is>
      </c>
      <c r="C13" s="5" t="inlineStr">
        <is>
          <t>ธนาคารตีกลับ</t>
        </is>
      </c>
      <c r="D13" s="19" t="inlineStr">
        <is>
          <t>APPROVED</t>
        </is>
      </c>
      <c r="E13" s="19" t="inlineStr">
        <is>
          <t>AC</t>
        </is>
      </c>
      <c r="F13" s="19" t="inlineStr"/>
    </row>
    <row r="14" ht="24" customHeight="1">
      <c r="A14" s="5" t="inlineStr"/>
      <c r="B14" s="6" t="inlineStr">
        <is>
          <t>VOID</t>
        </is>
      </c>
      <c r="C14" s="5" t="inlineStr">
        <is>
          <t>กลับรายการเพราะจ่ายผิด</t>
        </is>
      </c>
      <c r="D14" s="19" t="inlineStr">
        <is>
          <t>(สิ้นสุด — เปิดงวดใหม่แทน)</t>
        </is>
      </c>
      <c r="E14" s="19" t="inlineStr">
        <is>
          <t>หัวหน้าบัญชี</t>
        </is>
      </c>
      <c r="F14" s="19" t="inlineStr">
        <is>
          <t>ไม่มีการลบ ของเดิมอยู่เป็นหลักฐาน</t>
        </is>
      </c>
    </row>
    <row r="15" ht="24" customHeight="1">
      <c r="A15" s="5" t="inlineStr"/>
      <c r="B15" s="6" t="inlineStr">
        <is>
          <t>CANCELLED</t>
        </is>
      </c>
      <c r="C15" s="5" t="inlineStr">
        <is>
          <t>ยกเลิกงวด</t>
        </is>
      </c>
      <c r="D15" s="19" t="inlineStr">
        <is>
          <t>(สิ้นสุด)</t>
        </is>
      </c>
      <c r="E15" s="19" t="inlineStr">
        <is>
          <t>หัวหน้าบัญชี</t>
        </is>
      </c>
      <c r="F15" s="19" t="inlineStr"/>
    </row>
    <row r="16" ht="24" customHeight="1">
      <c r="A16" s="10" t="inlineStr">
        <is>
          <t>Claims</t>
        </is>
      </c>
      <c r="B16" s="6" t="inlineStr">
        <is>
          <t>OPEN</t>
        </is>
      </c>
      <c r="C16" s="5" t="inlineStr">
        <is>
          <t>เปิดเรื่องแล้ว</t>
        </is>
      </c>
      <c r="D16" s="19" t="inlineStr">
        <is>
          <t>SENT_TO_SUPPLIER</t>
        </is>
      </c>
      <c r="E16" s="19" t="inlineStr">
        <is>
          <t>QC / Sales Coordinator</t>
        </is>
      </c>
      <c r="F16" s="19" t="inlineStr"/>
    </row>
    <row r="17" ht="24" customHeight="1">
      <c r="A17" s="5" t="inlineStr"/>
      <c r="B17" s="6" t="inlineStr">
        <is>
          <t>SENT_TO_SUPPLIER</t>
        </is>
      </c>
      <c r="C17" s="5" t="inlineStr">
        <is>
          <t>ส่งเคลมให้ผู้ขายแล้ว</t>
        </is>
      </c>
      <c r="D17" s="19" t="inlineStr">
        <is>
          <t>CN_RECEIVED</t>
        </is>
      </c>
      <c r="E17" s="19" t="inlineStr">
        <is>
          <t>SR</t>
        </is>
      </c>
      <c r="F17" s="19" t="inlineStr"/>
    </row>
    <row r="18" ht="24" customHeight="1">
      <c r="A18" s="5" t="inlineStr"/>
      <c r="B18" s="6" t="inlineStr">
        <is>
          <t>CN_RECEIVED</t>
        </is>
      </c>
      <c r="C18" s="5" t="inlineStr">
        <is>
          <t>ได้รับใบลดหนี้</t>
        </is>
      </c>
      <c r="D18" s="19" t="inlineStr">
        <is>
          <t>CLOSED</t>
        </is>
      </c>
      <c r="E18" s="19" t="inlineStr">
        <is>
          <t>AC</t>
        </is>
      </c>
      <c r="F18" s="19" t="inlineStr">
        <is>
          <t>ตัวปลดล็อกงวดจ่าย</t>
        </is>
      </c>
    </row>
    <row r="19" ht="24" customHeight="1">
      <c r="A19" s="5" t="inlineStr"/>
      <c r="B19" s="6" t="inlineStr">
        <is>
          <t>CLOSED</t>
        </is>
      </c>
      <c r="C19" s="5" t="inlineStr">
        <is>
          <t>ปิดเรื่อง</t>
        </is>
      </c>
      <c r="D19" s="19" t="inlineStr">
        <is>
          <t>(สิ้นสุด)</t>
        </is>
      </c>
      <c r="E19" s="19" t="inlineStr">
        <is>
          <t>หัวหน้า QC</t>
        </is>
      </c>
      <c r="F19" s="19" t="inlineStr"/>
    </row>
    <row r="20" ht="24" customHeight="1">
      <c r="A20" s="10" t="inlineStr">
        <is>
          <t>ItemCode_Requests</t>
        </is>
      </c>
      <c r="B20" s="6" t="inlineStr">
        <is>
          <t>DRAFT</t>
        </is>
      </c>
      <c r="C20" s="5" t="inlineStr">
        <is>
          <t>ร่าง</t>
        </is>
      </c>
      <c r="D20" s="19" t="inlineStr">
        <is>
          <t>WAIT_APPROVE</t>
        </is>
      </c>
      <c r="E20" s="19" t="inlineStr">
        <is>
          <t>SR</t>
        </is>
      </c>
      <c r="F20" s="19" t="inlineStr"/>
    </row>
    <row r="21" ht="24" customHeight="1">
      <c r="A21" s="5" t="inlineStr"/>
      <c r="B21" s="6" t="inlineStr">
        <is>
          <t>WAIT_APPROVE</t>
        </is>
      </c>
      <c r="C21" s="5" t="inlineStr">
        <is>
          <t>รอหัวหน้าอนุมัติ</t>
        </is>
      </c>
      <c r="D21" s="19" t="inlineStr">
        <is>
          <t>WAIT_LS / REJECTED</t>
        </is>
      </c>
      <c r="E21" s="19" t="inlineStr">
        <is>
          <t>หัวหน้า SR</t>
        </is>
      </c>
      <c r="F21" s="19" t="inlineStr"/>
    </row>
    <row r="22" ht="24" customHeight="1">
      <c r="A22" s="5" t="inlineStr"/>
      <c r="B22" s="6" t="inlineStr">
        <is>
          <t>WAIT_LS</t>
        </is>
      </c>
      <c r="C22" s="5" t="inlineStr">
        <is>
          <t>รอ LS เปิดรหัสใน B1</t>
        </is>
      </c>
      <c r="D22" s="19" t="inlineStr">
        <is>
          <t>DONE</t>
        </is>
      </c>
      <c r="E22" s="19" t="inlineStr">
        <is>
          <t>LS</t>
        </is>
      </c>
      <c r="F22" s="19" t="inlineStr"/>
    </row>
    <row r="23" ht="24" customHeight="1">
      <c r="A23" s="5" t="inlineStr"/>
      <c r="B23" s="6" t="inlineStr">
        <is>
          <t>DONE</t>
        </is>
      </c>
      <c r="C23" s="5" t="inlineStr">
        <is>
          <t>เปิดรหัสแล้ว</t>
        </is>
      </c>
      <c r="D23" s="19" t="inlineStr">
        <is>
          <t>(สิ้นสุด)</t>
        </is>
      </c>
      <c r="E23" s="19" t="inlineStr">
        <is>
          <t>LS</t>
        </is>
      </c>
      <c r="F23" s="19" t="inlineStr">
        <is>
          <t>PO ที่รออยู่เดินต่อเองอัตโนมัติ</t>
        </is>
      </c>
    </row>
    <row r="24" ht="24" customHeight="1">
      <c r="A24" s="5" t="inlineStr"/>
      <c r="B24" s="6" t="inlineStr">
        <is>
          <t>REJECTED</t>
        </is>
      </c>
      <c r="C24" s="5" t="inlineStr">
        <is>
          <t>ไม่อนุมัติ</t>
        </is>
      </c>
      <c r="D24" s="19" t="inlineStr">
        <is>
          <t>(สิ้นสุด)</t>
        </is>
      </c>
      <c r="E24" s="19" t="inlineStr">
        <is>
          <t>หัวหน้า SR</t>
        </is>
      </c>
      <c r="F24" s="19" t="inlineStr"/>
    </row>
    <row r="25" ht="24" customHeight="1">
      <c r="A25" s="7" t="inlineStr">
        <is>
          <t>Price_Requests</t>
        </is>
      </c>
      <c r="B25" s="6" t="inlineStr">
        <is>
          <t>NEW</t>
        </is>
      </c>
      <c r="C25" s="21" t="inlineStr">
        <is>
          <t>ยังไม่มีใบเสนอราคา</t>
        </is>
      </c>
      <c r="D25" s="19" t="inlineStr">
        <is>
          <t>QUOTING / CANCELLED</t>
        </is>
      </c>
      <c r="E25" s="19" t="inlineStr">
        <is>
          <t>SR</t>
        </is>
      </c>
      <c r="F25" s="19" t="inlineStr">
        <is>
          <t>เพิ่มใหม่ล่าสุด</t>
        </is>
      </c>
    </row>
    <row r="26" ht="24" customHeight="1">
      <c r="A26" s="21" t="inlineStr"/>
      <c r="B26" s="6" t="inlineStr">
        <is>
          <t>QUOTING</t>
        </is>
      </c>
      <c r="C26" s="21" t="inlineStr">
        <is>
          <t>กำลังเทียบราคา</t>
        </is>
      </c>
      <c r="D26" s="19" t="inlineStr">
        <is>
          <t>CONVERTED / CANCELLED</t>
        </is>
      </c>
      <c r="E26" s="19" t="inlineStr">
        <is>
          <t>SR</t>
        </is>
      </c>
      <c r="F26" s="19" t="inlineStr">
        <is>
          <t>เพิ่มใหม่ล่าสุด</t>
        </is>
      </c>
    </row>
    <row r="27" ht="24" customHeight="1">
      <c r="A27" s="21" t="inlineStr"/>
      <c r="B27" s="6" t="inlineStr">
        <is>
          <t>CONVERTED</t>
        </is>
      </c>
      <c r="C27" s="21" t="inlineStr">
        <is>
          <t>เปิด PO แล้ว</t>
        </is>
      </c>
      <c r="D27" s="19" t="inlineStr">
        <is>
          <t>(สิ้นสุด)</t>
        </is>
      </c>
      <c r="E27" s="19" t="inlineStr">
        <is>
          <t>SR</t>
        </is>
      </c>
      <c r="F27" s="19" t="inlineStr">
        <is>
          <t>เพิ่มใหม่ล่าสุด · เพิ่มใบเสนอราคาใหม่ไม่ได้แล้ว</t>
        </is>
      </c>
    </row>
    <row r="28" ht="24" customHeight="1">
      <c r="A28" s="21" t="inlineStr"/>
      <c r="B28" s="6" t="inlineStr">
        <is>
          <t>CANCELLED</t>
        </is>
      </c>
      <c r="C28" s="21" t="inlineStr">
        <is>
          <t>ยกเลิก</t>
        </is>
      </c>
      <c r="D28" s="19" t="inlineStr">
        <is>
          <t>(สิ้นสุด)</t>
        </is>
      </c>
      <c r="E28" s="19" t="inlineStr">
        <is>
          <t>SR</t>
        </is>
      </c>
      <c r="F28" s="19" t="inlineStr">
        <is>
          <t>เพิ่มใหม่ล่าสุด</t>
        </is>
      </c>
    </row>
    <row r="29" ht="24" customHeight="1">
      <c r="A29" s="7" t="inlineStr">
        <is>
          <t>Payment_Requests</t>
        </is>
      </c>
      <c r="B29" s="6" t="inlineStr">
        <is>
          <t>PENDING</t>
        </is>
      </c>
      <c r="C29" s="21" t="inlineStr">
        <is>
          <t>รอหัวหน้าอนุมัติ</t>
        </is>
      </c>
      <c r="D29" s="19" t="inlineStr">
        <is>
          <t>APPROVED / REJECTED</t>
        </is>
      </c>
      <c r="E29" s="19" t="inlineStr">
        <is>
          <t>หัวหน้าบัญชี หรือผู้บริหารตามวงเงิน</t>
        </is>
      </c>
      <c r="F29" s="19" t="inlineStr">
        <is>
          <t>เพิ่มใหม่ล่าสุด</t>
        </is>
      </c>
    </row>
    <row r="30" ht="24" customHeight="1">
      <c r="A30" s="21" t="inlineStr"/>
      <c r="B30" s="6" t="inlineStr">
        <is>
          <t>APPROVED</t>
        </is>
      </c>
      <c r="C30" s="21" t="inlineStr">
        <is>
          <t>อนุมัติแล้ว รอบัญชีทำจ่าย</t>
        </is>
      </c>
      <c r="D30" s="19" t="inlineStr">
        <is>
          <t>(สิ้นสุด)</t>
        </is>
      </c>
      <c r="E30" s="19" t="inlineStr">
        <is>
          <t>หัวหน้าบัญชี / ผู้บริหาร</t>
        </is>
      </c>
      <c r="F30" s="19" t="inlineStr">
        <is>
          <t>เพิ่มใหม่ล่าสุด · งวดจ่ายเปลี่ยนเป็น APPROVED ตาม</t>
        </is>
      </c>
    </row>
    <row r="31" ht="24" customHeight="1">
      <c r="A31" s="21" t="inlineStr"/>
      <c r="B31" s="6" t="inlineStr">
        <is>
          <t>REJECTED</t>
        </is>
      </c>
      <c r="C31" s="21" t="inlineStr">
        <is>
          <t>ตีกลับพร้อมเหตุผล</t>
        </is>
      </c>
      <c r="D31" s="19" t="inlineStr">
        <is>
          <t>(สิ้นสุด — ขอใหม่เป็นคำขอใบใหม่)</t>
        </is>
      </c>
      <c r="E31" s="19" t="inlineStr">
        <is>
          <t>หัวหน้าบัญชี / ผู้บริหาร</t>
        </is>
      </c>
      <c r="F31" s="19" t="inlineStr">
        <is>
          <t>เพิ่มใหม่ล่าสุด · ของเดิมไม่ถูกลบ</t>
        </is>
      </c>
    </row>
    <row r="32" ht="24" customHeight="1">
      <c r="A32" s="10" t="inlineStr">
        <is>
          <t>Issues</t>
        </is>
      </c>
      <c r="B32" s="6" t="inlineStr">
        <is>
          <t>NEW</t>
        </is>
      </c>
      <c r="C32" s="5" t="inlineStr">
        <is>
          <t>รอ IT รับเรื่อง</t>
        </is>
      </c>
      <c r="D32" s="19" t="inlineStr">
        <is>
          <t>ACK</t>
        </is>
      </c>
      <c r="E32" s="19" t="inlineStr">
        <is>
          <t>IT (SLA 1 วันทำการ)</t>
        </is>
      </c>
      <c r="F32" s="19" t="inlineStr"/>
    </row>
    <row r="33" ht="24" customHeight="1">
      <c r="A33" s="5" t="inlineStr"/>
      <c r="B33" s="6" t="inlineStr">
        <is>
          <t>ACK</t>
        </is>
      </c>
      <c r="C33" s="5" t="inlineStr">
        <is>
          <t>รับเรื่องแล้ว</t>
        </is>
      </c>
      <c r="D33" s="19" t="inlineStr">
        <is>
          <t>FIXING / WONTFIX</t>
        </is>
      </c>
      <c r="E33" s="19" t="inlineStr">
        <is>
          <t>IT</t>
        </is>
      </c>
      <c r="F33" s="19" t="inlineStr"/>
    </row>
    <row r="34" ht="24" customHeight="1">
      <c r="A34" s="5" t="inlineStr"/>
      <c r="B34" s="6" t="inlineStr">
        <is>
          <t>FIXING</t>
        </is>
      </c>
      <c r="C34" s="5" t="inlineStr">
        <is>
          <t>กำลังแก้</t>
        </is>
      </c>
      <c r="D34" s="19" t="inlineStr">
        <is>
          <t>FIXED</t>
        </is>
      </c>
      <c r="E34" s="19" t="inlineStr">
        <is>
          <t>IT</t>
        </is>
      </c>
      <c r="F34" s="19" t="inlineStr"/>
    </row>
    <row r="35" ht="24" customHeight="1">
      <c r="A35" s="5" t="inlineStr"/>
      <c r="B35" s="6" t="inlineStr">
        <is>
          <t>FIXED</t>
        </is>
      </c>
      <c r="C35" s="5" t="inlineStr">
        <is>
          <t>แก้แล้ว รอผู้แจ้งยืนยัน</t>
        </is>
      </c>
      <c r="D35" s="19" t="inlineStr">
        <is>
          <t>CLOSED / FIXING</t>
        </is>
      </c>
      <c r="E35" s="19" t="inlineStr">
        <is>
          <t>IT แก้ · ผู้แจ้งยืนยัน</t>
        </is>
      </c>
      <c r="F35" s="19" t="inlineStr">
        <is>
          <t>ผู้แจ้งเป็นคนกดปิด ไม่ใช่ IT</t>
        </is>
      </c>
    </row>
    <row r="36" ht="24" customHeight="1">
      <c r="A36" s="5" t="inlineStr"/>
      <c r="B36" s="6" t="inlineStr">
        <is>
          <t>CLOSED</t>
        </is>
      </c>
      <c r="C36" s="5" t="inlineStr">
        <is>
          <t>ปิดเรื่อง</t>
        </is>
      </c>
      <c r="D36" s="19" t="inlineStr">
        <is>
          <t>(สิ้นสุด)</t>
        </is>
      </c>
      <c r="E36" s="19" t="inlineStr">
        <is>
          <t>ผู้แจ้ง</t>
        </is>
      </c>
      <c r="F36" s="19" t="inlineStr">
        <is>
          <t>ไม่มีปุ่มลบ</t>
        </is>
      </c>
    </row>
  </sheetData>
  <autoFilter ref="A4:F36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D33"/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46" customWidth="1" min="4" max="4"/>
    <col width="20" customWidth="1" min="5" max="5"/>
    <col width="30" customWidth="1" min="6" max="6"/>
  </cols>
  <sheetData>
    <row r="1" ht="26" customHeight="1">
      <c r="A1" s="1" t="inlineStr">
        <is>
          <t>ค่าตั้งต้นทั้งหมด (Config)</t>
        </is>
      </c>
    </row>
    <row r="2" ht="30" customHeight="1">
      <c r="A2" s="2" t="inlineStr">
        <is>
          <t>ตัวเลขที่ปรับได้ทั้งระบบอยู่ในแท็บเดียว · แถวสีแดงคือค่าที่ผมตั้งเองและยังไม่มีใครยืนยัน</t>
        </is>
      </c>
    </row>
    <row r="4" ht="30" customHeight="1">
      <c r="A4" s="16" t="inlineStr">
        <is>
          <t>รหัสค่า</t>
        </is>
      </c>
      <c r="B4" s="16" t="inlineStr">
        <is>
          <t>หมวด</t>
        </is>
      </c>
      <c r="C4" s="16" t="inlineStr">
        <is>
          <t>ค่า (แก้ได้)</t>
        </is>
      </c>
      <c r="D4" s="16" t="inlineStr">
        <is>
          <t>ใช้ทำอะไร</t>
        </is>
      </c>
      <c r="E4" s="16" t="inlineStr">
        <is>
          <t>ใครยืนยัน</t>
        </is>
      </c>
      <c r="F4" s="16" t="inlineStr">
        <is>
          <t>หมายเหตุของทีม</t>
        </is>
      </c>
    </row>
    <row r="5" ht="24" customHeight="1">
      <c r="A5" s="24" t="inlineStr">
        <is>
          <t>SLA_DEFAULT_HOURS</t>
        </is>
      </c>
      <c r="B5" s="17" t="inlineStr">
        <is>
          <t>ขั้นตอนงาน</t>
        </is>
      </c>
      <c r="C5" s="26" t="inlineStr">
        <is>
          <t>24</t>
        </is>
      </c>
      <c r="D5" s="5" t="inlineStr">
        <is>
          <t>SLA ตั้งต้นของขั้นที่ไม่ได้กำหนดเอง</t>
        </is>
      </c>
      <c r="E5" s="23" t="inlineStr">
        <is>
          <t>หัวหน้าทุกแผนก</t>
        </is>
      </c>
      <c r="F5" s="19" t="inlineStr"/>
    </row>
    <row r="6" ht="24" customHeight="1">
      <c r="A6" s="24" t="inlineStr">
        <is>
          <t>SLA_ESCALATE_1_PCT</t>
        </is>
      </c>
      <c r="B6" s="17" t="inlineStr">
        <is>
          <t>ขั้นตอนงาน</t>
        </is>
      </c>
      <c r="C6" s="26" t="inlineStr">
        <is>
          <t>150</t>
        </is>
      </c>
      <c r="D6" s="5" t="inlineStr">
        <is>
          <t>เกิน SLA กี่ % จึงแจ้งหัวหน้า</t>
        </is>
      </c>
      <c r="E6" s="23" t="inlineStr">
        <is>
          <t>หัวหน้าทุกแผนก</t>
        </is>
      </c>
      <c r="F6" s="19" t="inlineStr"/>
    </row>
    <row r="7" ht="24" customHeight="1">
      <c r="A7" s="24" t="inlineStr">
        <is>
          <t>SLA_ESCALATE_2_PCT</t>
        </is>
      </c>
      <c r="B7" s="17" t="inlineStr">
        <is>
          <t>ขั้นตอนงาน</t>
        </is>
      </c>
      <c r="C7" s="26" t="inlineStr">
        <is>
          <t>200</t>
        </is>
      </c>
      <c r="D7" s="5" t="inlineStr">
        <is>
          <t>เกิน SLA กี่ % จึงเข้าสรุปของผู้บริหาร</t>
        </is>
      </c>
      <c r="E7" s="23" t="inlineStr">
        <is>
          <t>ผู้บริหาร</t>
        </is>
      </c>
      <c r="F7" s="19" t="inlineStr"/>
    </row>
    <row r="8" ht="24" customHeight="1">
      <c r="A8" s="24" t="inlineStr">
        <is>
          <t>INVOICE_TOLERANCE_WARN_PCT</t>
        </is>
      </c>
      <c r="B8" s="17" t="inlineStr">
        <is>
          <t>ตรวจสอบ</t>
        </is>
      </c>
      <c r="C8" s="26" t="inlineStr">
        <is>
          <t>2</t>
        </is>
      </c>
      <c r="D8" s="5" t="inlineStr">
        <is>
          <t>ยอดใบแจ้งหนี้ต่างจาก PO กี่ % จึงเตือน</t>
        </is>
      </c>
      <c r="E8" s="23" t="inlineStr">
        <is>
          <t>AC</t>
        </is>
      </c>
      <c r="F8" s="19" t="inlineStr">
        <is>
          <t>กฎ V9</t>
        </is>
      </c>
    </row>
    <row r="9" ht="24" customHeight="1">
      <c r="A9" s="24" t="inlineStr">
        <is>
          <t>INVOICE_TOLERANCE_BLOCK_PCT</t>
        </is>
      </c>
      <c r="B9" s="17" t="inlineStr">
        <is>
          <t>ตรวจสอบ</t>
        </is>
      </c>
      <c r="C9" s="26" t="inlineStr">
        <is>
          <t>5</t>
        </is>
      </c>
      <c r="D9" s="5" t="inlineStr">
        <is>
          <t>ต่างกี่ % จึงบล็อก</t>
        </is>
      </c>
      <c r="E9" s="23" t="inlineStr">
        <is>
          <t>AC</t>
        </is>
      </c>
      <c r="F9" s="19" t="inlineStr">
        <is>
          <t>กฎ V10</t>
        </is>
      </c>
    </row>
    <row r="10" ht="24" customHeight="1">
      <c r="A10" s="24" t="inlineStr">
        <is>
          <t>PAYMENT_VARIANCE_TOLERANCE_THB</t>
        </is>
      </c>
      <c r="B10" s="17" t="inlineStr">
        <is>
          <t>จ่ายเงิน</t>
        </is>
      </c>
      <c r="C10" s="26" t="inlineStr">
        <is>
          <t>1</t>
        </is>
      </c>
      <c r="D10" s="5" t="inlineStr">
        <is>
          <t>ยอดจ่ายต่างจากที่คำนวณกี่บาทจึงต้องใส่เหตุผล</t>
        </is>
      </c>
      <c r="E10" s="23" t="inlineStr">
        <is>
          <t>AC</t>
        </is>
      </c>
      <c r="F10" s="19" t="inlineStr">
        <is>
          <t>กฎ P7</t>
        </is>
      </c>
    </row>
    <row r="11" ht="24" customHeight="1">
      <c r="A11" s="24" t="inlineStr">
        <is>
          <t>PAYMENT_BACKDATE_DAYS</t>
        </is>
      </c>
      <c r="B11" s="17" t="inlineStr">
        <is>
          <t>จ่ายเงิน</t>
        </is>
      </c>
      <c r="C11" s="26" t="inlineStr">
        <is>
          <t>7</t>
        </is>
      </c>
      <c r="D11" s="5" t="inlineStr">
        <is>
          <t>จ่ายย้อนหลังได้กี่วันโดยไม่ต้องขออนุมัติเพิ่ม</t>
        </is>
      </c>
      <c r="E11" s="23" t="inlineStr">
        <is>
          <t>AC</t>
        </is>
      </c>
      <c r="F11" s="19" t="inlineStr">
        <is>
          <t>กฎ P9</t>
        </is>
      </c>
    </row>
    <row r="12" ht="24" customHeight="1">
      <c r="A12" s="24" t="inlineStr">
        <is>
          <t>APPROVAL_LIMIT_AC_HEAD_THB</t>
        </is>
      </c>
      <c r="B12" s="17" t="inlineStr">
        <is>
          <t>จ่ายเงิน</t>
        </is>
      </c>
      <c r="C12" s="26" t="inlineStr">
        <is>
          <t>50000</t>
        </is>
      </c>
      <c r="D12" s="5" t="inlineStr">
        <is>
          <t>วงเงินที่หัวหน้าบัญชีอนุมัติได้เอง</t>
        </is>
      </c>
      <c r="E12" s="23" t="inlineStr">
        <is>
          <t>AC + ผู้บริหาร</t>
        </is>
      </c>
      <c r="F12" s="19" t="inlineStr">
        <is>
          <t>เกินนี้ต้องถึงผู้บริหาร</t>
        </is>
      </c>
    </row>
    <row r="13" ht="24" customHeight="1">
      <c r="A13" s="24" t="inlineStr">
        <is>
          <t>SWIFT_ALWAYS_GM</t>
        </is>
      </c>
      <c r="B13" s="17" t="inlineStr">
        <is>
          <t>จ่ายเงิน</t>
        </is>
      </c>
      <c r="C13" s="26" t="inlineStr">
        <is>
          <t>TRUE</t>
        </is>
      </c>
      <c r="D13" s="5" t="inlineStr">
        <is>
          <t>จ่ายต่างประเทศต้องถึงผู้บริหารทุกวงเงิน</t>
        </is>
      </c>
      <c r="E13" s="23" t="inlineStr">
        <is>
          <t>AC + ผู้บริหาร</t>
        </is>
      </c>
      <c r="F13" s="19" t="inlineStr"/>
    </row>
    <row r="14" ht="24" customHeight="1">
      <c r="A14" s="24" t="inlineStr">
        <is>
          <t>WHT_RATE_GOODS</t>
        </is>
      </c>
      <c r="B14" s="17" t="inlineStr">
        <is>
          <t>ภาษี</t>
        </is>
      </c>
      <c r="C14" s="26" t="inlineStr">
        <is>
          <t>0</t>
        </is>
      </c>
      <c r="D14" s="5" t="inlineStr">
        <is>
          <t>อัตราหัก ณ ที่จ่าย — ซื้อสินค้า (%)</t>
        </is>
      </c>
      <c r="E14" s="23" t="inlineStr">
        <is>
          <t>AC</t>
        </is>
      </c>
      <c r="F14" s="19" t="inlineStr"/>
    </row>
    <row r="15" ht="24" customHeight="1">
      <c r="A15" s="24" t="inlineStr">
        <is>
          <t>WHT_RATE_FREIGHT</t>
        </is>
      </c>
      <c r="B15" s="17" t="inlineStr">
        <is>
          <t>ภาษี</t>
        </is>
      </c>
      <c r="C15" s="26" t="inlineStr">
        <is>
          <t>1</t>
        </is>
      </c>
      <c r="D15" s="5" t="inlineStr">
        <is>
          <t>อัตราหัก ณ ที่จ่าย — ค่าขนส่ง (%)</t>
        </is>
      </c>
      <c r="E15" s="23" t="inlineStr">
        <is>
          <t>AC</t>
        </is>
      </c>
      <c r="F15" s="19" t="inlineStr"/>
    </row>
    <row r="16" ht="24" customHeight="1">
      <c r="A16" s="24" t="inlineStr">
        <is>
          <t>WHT_RATE_SERVICE</t>
        </is>
      </c>
      <c r="B16" s="17" t="inlineStr">
        <is>
          <t>ภาษี</t>
        </is>
      </c>
      <c r="C16" s="26" t="inlineStr">
        <is>
          <t>3</t>
        </is>
      </c>
      <c r="D16" s="5" t="inlineStr">
        <is>
          <t>อัตราหัก ณ ที่จ่าย — ค่าบริการ (%)</t>
        </is>
      </c>
      <c r="E16" s="23" t="inlineStr">
        <is>
          <t>AC</t>
        </is>
      </c>
      <c r="F16" s="19" t="inlineStr"/>
    </row>
    <row r="17" ht="24" customHeight="1">
      <c r="A17" s="24" t="inlineStr">
        <is>
          <t>WHT_RATE_RENT</t>
        </is>
      </c>
      <c r="B17" s="17" t="inlineStr">
        <is>
          <t>ภาษี</t>
        </is>
      </c>
      <c r="C17" s="26" t="inlineStr">
        <is>
          <t>5</t>
        </is>
      </c>
      <c r="D17" s="5" t="inlineStr">
        <is>
          <t>อัตราหัก ณ ที่จ่าย — ค่าเช่า (%)</t>
        </is>
      </c>
      <c r="E17" s="23" t="inlineStr">
        <is>
          <t>AC</t>
        </is>
      </c>
      <c r="F17" s="19" t="inlineStr"/>
    </row>
    <row r="18" ht="24" customHeight="1">
      <c r="A18" s="24" t="inlineStr">
        <is>
          <t>WHT_RATE_ADS</t>
        </is>
      </c>
      <c r="B18" s="17" t="inlineStr">
        <is>
          <t>ภาษี</t>
        </is>
      </c>
      <c r="C18" s="26" t="inlineStr">
        <is>
          <t>2</t>
        </is>
      </c>
      <c r="D18" s="5" t="inlineStr">
        <is>
          <t>อัตราหัก ณ ที่จ่าย — ค่าโฆษณา (%)</t>
        </is>
      </c>
      <c r="E18" s="23" t="inlineStr">
        <is>
          <t>AC</t>
        </is>
      </c>
      <c r="F18" s="19" t="inlineStr"/>
    </row>
    <row r="19" ht="24" customHeight="1">
      <c r="A19" s="24" t="inlineStr">
        <is>
          <t>BANK_FEE_DEFAULT_THB</t>
        </is>
      </c>
      <c r="B19" s="17" t="inlineStr">
        <is>
          <t>จ่ายเงิน</t>
        </is>
      </c>
      <c r="C19" s="26" t="inlineStr">
        <is>
          <t>35</t>
        </is>
      </c>
      <c r="D19" s="5" t="inlineStr">
        <is>
          <t>ค่าธรรมเนียมโอนตั้งต้น</t>
        </is>
      </c>
      <c r="E19" s="23" t="inlineStr">
        <is>
          <t>AC</t>
        </is>
      </c>
      <c r="F19" s="19" t="inlineStr"/>
    </row>
    <row r="20" ht="24" customHeight="1">
      <c r="A20" s="24" t="inlineStr">
        <is>
          <t>BANK_FEE_BORNE_BY</t>
        </is>
      </c>
      <c r="B20" s="17" t="inlineStr">
        <is>
          <t>จ่ายเงิน</t>
        </is>
      </c>
      <c r="C20" s="26" t="inlineStr">
        <is>
          <t>OUR</t>
        </is>
      </c>
      <c r="D20" s="5" t="inlineStr">
        <is>
          <t>ใครรับภาระค่าธรรมเนียมโดยปกติ</t>
        </is>
      </c>
      <c r="E20" s="23" t="inlineStr">
        <is>
          <t>AC</t>
        </is>
      </c>
      <c r="F20" s="19" t="inlineStr">
        <is>
          <t>OUR หรือ SUPPLIER</t>
        </is>
      </c>
    </row>
    <row r="21" ht="24" customHeight="1">
      <c r="A21" s="24" t="inlineStr">
        <is>
          <t>FILE_MAX_SIZE_MB</t>
        </is>
      </c>
      <c r="B21" s="17" t="inlineStr">
        <is>
          <t>ไฟล์</t>
        </is>
      </c>
      <c r="C21" s="29" t="inlineStr">
        <is>
          <t>20</t>
        </is>
      </c>
      <c r="D21" s="5" t="inlineStr">
        <is>
          <t>ขนาดไฟล์สูงสุดที่รับ</t>
        </is>
      </c>
      <c r="E21" s="23" t="inlineStr">
        <is>
          <t>IT</t>
        </is>
      </c>
      <c r="F21" s="19" t="inlineStr">
        <is>
          <t>กฎ V5</t>
        </is>
      </c>
    </row>
    <row r="22" ht="24" customHeight="1">
      <c r="A22" s="24" t="inlineStr">
        <is>
          <t>IMAGE_RESIZE_LONG_EDGE_PX</t>
        </is>
      </c>
      <c r="B22" s="17" t="inlineStr">
        <is>
          <t>ไฟล์</t>
        </is>
      </c>
      <c r="C22" s="29" t="inlineStr">
        <is>
          <t>1600</t>
        </is>
      </c>
      <c r="D22" s="5" t="inlineStr">
        <is>
          <t>ย่อรูปด้านยาวเหลือกี่พิกเซลก่อนอัพ</t>
        </is>
      </c>
      <c r="E22" s="23" t="inlineStr">
        <is>
          <t>IT</t>
        </is>
      </c>
      <c r="F22" s="19" t="inlineStr">
        <is>
          <t>ลดพื้นที่ ~94%</t>
        </is>
      </c>
    </row>
    <row r="23" ht="24" customHeight="1">
      <c r="A23" s="24" t="inlineStr">
        <is>
          <t>IMAGE_JPEG_QUALITY</t>
        </is>
      </c>
      <c r="B23" s="17" t="inlineStr">
        <is>
          <t>ไฟล์</t>
        </is>
      </c>
      <c r="C23" s="29" t="inlineStr">
        <is>
          <t>0.75</t>
        </is>
      </c>
      <c r="D23" s="5" t="inlineStr">
        <is>
          <t>คุณภาพ JPEG หลังบีบอัด</t>
        </is>
      </c>
      <c r="E23" s="23" t="inlineStr">
        <is>
          <t>IT</t>
        </is>
      </c>
      <c r="F23" s="19" t="inlineStr"/>
    </row>
    <row r="24" ht="24" customHeight="1">
      <c r="A24" s="24" t="inlineStr">
        <is>
          <t>SCAN_DPI_RECOMMENDED</t>
        </is>
      </c>
      <c r="B24" s="17" t="inlineStr">
        <is>
          <t>ไฟล์</t>
        </is>
      </c>
      <c r="C24" s="29" t="inlineStr">
        <is>
          <t>200</t>
        </is>
      </c>
      <c r="D24" s="5" t="inlineStr">
        <is>
          <t>ตั้งค่าเครื่องสแกน (dpi, เฉดเทา)</t>
        </is>
      </c>
      <c r="E24" s="23" t="inlineStr">
        <is>
          <t>IT + ธุรการ</t>
        </is>
      </c>
      <c r="F24" s="19" t="inlineStr">
        <is>
          <t>ลดจาก 300 dpi สี</t>
        </is>
      </c>
    </row>
    <row r="25" ht="24" customHeight="1">
      <c r="A25" s="24" t="inlineStr">
        <is>
          <t>DOC_VERSIONS_KEEP</t>
        </is>
      </c>
      <c r="B25" s="17" t="inlineStr">
        <is>
          <t>ไฟล์</t>
        </is>
      </c>
      <c r="C25" s="29" t="inlineStr">
        <is>
          <t>3</t>
        </is>
      </c>
      <c r="D25" s="5" t="inlineStr">
        <is>
          <t>เก็บกี่เวอร์ชันล่าสุด (ฉบับที่อนุมัติเก็บเสมอ)</t>
        </is>
      </c>
      <c r="E25" s="23" t="inlineStr">
        <is>
          <t>IT</t>
        </is>
      </c>
      <c r="F25" s="19" t="inlineStr"/>
    </row>
    <row r="26" ht="24" customHeight="1">
      <c r="A26" s="24" t="inlineStr">
        <is>
          <t>DOC_VERSION_PURGE_DAYS</t>
        </is>
      </c>
      <c r="B26" s="17" t="inlineStr">
        <is>
          <t>ไฟล์</t>
        </is>
      </c>
      <c r="C26" s="29" t="inlineStr">
        <is>
          <t>90</t>
        </is>
      </c>
      <c r="D26" s="5" t="inlineStr">
        <is>
          <t>ลบเวอร์ชันเกินโควตาหลังกี่วัน</t>
        </is>
      </c>
      <c r="E26" s="23" t="inlineStr">
        <is>
          <t>IT</t>
        </is>
      </c>
      <c r="F26" s="19" t="inlineStr"/>
    </row>
    <row r="27" ht="24" customHeight="1">
      <c r="A27" s="24" t="inlineStr">
        <is>
          <t>ARCHIVE_AFTER_MONTHS</t>
        </is>
      </c>
      <c r="B27" s="17" t="inlineStr">
        <is>
          <t>ไฟล์</t>
        </is>
      </c>
      <c r="C27" s="26" t="inlineStr">
        <is>
          <t>12</t>
        </is>
      </c>
      <c r="D27" s="5" t="inlineStr">
        <is>
          <t>PO ปิดเกินกี่เดือนจึงย้ายเข้าคลัง</t>
        </is>
      </c>
      <c r="E27" s="23" t="inlineStr">
        <is>
          <t>AC</t>
        </is>
      </c>
      <c r="F27" s="19" t="inlineStr"/>
    </row>
    <row r="28" ht="24" customHeight="1">
      <c r="A28" s="24" t="inlineStr">
        <is>
          <t>DOC_RETENTION_YEARS</t>
        </is>
      </c>
      <c r="B28" s="17" t="inlineStr">
        <is>
          <t>ไฟล์</t>
        </is>
      </c>
      <c r="C28" s="26" t="inlineStr">
        <is>
          <t>5</t>
        </is>
      </c>
      <c r="D28" s="5" t="inlineStr">
        <is>
          <t>เก็บเอกสารกี่ปีตามกฎหมายบัญชี</t>
        </is>
      </c>
      <c r="E28" s="23" t="inlineStr">
        <is>
          <t>AC + ที่ปรึกษากฎหมาย</t>
        </is>
      </c>
      <c r="F28" s="19" t="inlineStr">
        <is>
          <t>ต้องยืนยันว่าใช้กับทุกประเภทเอกสาร</t>
        </is>
      </c>
    </row>
    <row r="29" ht="24" customHeight="1">
      <c r="A29" s="24" t="inlineStr">
        <is>
          <t>QUIET_HOURS_START</t>
        </is>
      </c>
      <c r="B29" s="17" t="inlineStr">
        <is>
          <t>แจ้งเตือน</t>
        </is>
      </c>
      <c r="C29" s="26" t="inlineStr">
        <is>
          <t>20:00</t>
        </is>
      </c>
      <c r="D29" s="5" t="inlineStr">
        <is>
          <t>เริ่มเวลาเงียบ</t>
        </is>
      </c>
      <c r="E29" s="23" t="inlineStr">
        <is>
          <t>หัวหน้าทุกแผนก</t>
        </is>
      </c>
      <c r="F29" s="19" t="inlineStr"/>
    </row>
    <row r="30" ht="24" customHeight="1">
      <c r="A30" s="24" t="inlineStr">
        <is>
          <t>QUIET_HOURS_END</t>
        </is>
      </c>
      <c r="B30" s="17" t="inlineStr">
        <is>
          <t>แจ้งเตือน</t>
        </is>
      </c>
      <c r="C30" s="26" t="inlineStr">
        <is>
          <t>07:00</t>
        </is>
      </c>
      <c r="D30" s="5" t="inlineStr">
        <is>
          <t>จบเวลาเงียบ</t>
        </is>
      </c>
      <c r="E30" s="23" t="inlineStr">
        <is>
          <t>หัวหน้าทุกแผนก</t>
        </is>
      </c>
      <c r="F30" s="19" t="inlineStr"/>
    </row>
    <row r="31" ht="24" customHeight="1">
      <c r="A31" s="24" t="inlineStr">
        <is>
          <t>DAILY_DIGEST_TIME</t>
        </is>
      </c>
      <c r="B31" s="17" t="inlineStr">
        <is>
          <t>แจ้งเตือน</t>
        </is>
      </c>
      <c r="C31" s="26" t="inlineStr">
        <is>
          <t>08:30</t>
        </is>
      </c>
      <c r="D31" s="5" t="inlineStr">
        <is>
          <t>เวลาส่งสรุปรายวัน</t>
        </is>
      </c>
      <c r="E31" s="23" t="inlineStr">
        <is>
          <t>หัวหน้าทุกแผนก</t>
        </is>
      </c>
      <c r="F31" s="19" t="inlineStr"/>
    </row>
    <row r="32" ht="24" customHeight="1">
      <c r="A32" s="24" t="inlineStr">
        <is>
          <t>NOTIF_DEDUPE_HOURS</t>
        </is>
      </c>
      <c r="B32" s="17" t="inlineStr">
        <is>
          <t>แจ้งเตือน</t>
        </is>
      </c>
      <c r="C32" s="29" t="inlineStr">
        <is>
          <t>24</t>
        </is>
      </c>
      <c r="D32" s="5" t="inlineStr">
        <is>
          <t>เรื่องเดิมไม่เด้งซ้ำภายในกี่ชั่วโมง</t>
        </is>
      </c>
      <c r="E32" s="23" t="inlineStr">
        <is>
          <t>IT</t>
        </is>
      </c>
      <c r="F32" s="19" t="inlineStr"/>
    </row>
    <row r="33" ht="24" customHeight="1">
      <c r="A33" s="24" t="inlineStr">
        <is>
          <t>NOTIF_BATCH_THRESHOLD</t>
        </is>
      </c>
      <c r="B33" s="17" t="inlineStr">
        <is>
          <t>แจ้งเตือน</t>
        </is>
      </c>
      <c r="C33" s="29" t="inlineStr">
        <is>
          <t>3</t>
        </is>
      </c>
      <c r="D33" s="5" t="inlineStr">
        <is>
          <t>เกินกี่เรื่องใน 10 นาทีจึงรวมเป็นข้อความเดียว</t>
        </is>
      </c>
      <c r="E33" s="23" t="inlineStr">
        <is>
          <t>IT</t>
        </is>
      </c>
      <c r="F33" s="19" t="inlineStr"/>
    </row>
    <row r="34" ht="24" customHeight="1">
      <c r="A34" s="24" t="inlineStr">
        <is>
          <t>NOTIF_RETRY_MAX</t>
        </is>
      </c>
      <c r="B34" s="17" t="inlineStr">
        <is>
          <t>แจ้งเตือน</t>
        </is>
      </c>
      <c r="C34" s="29" t="inlineStr">
        <is>
          <t>5</t>
        </is>
      </c>
      <c r="D34" s="5" t="inlineStr">
        <is>
          <t>ลองส่งซ้ำสูงสุดกี่ครั้งก่อนตกไปที่อีเมล</t>
        </is>
      </c>
      <c r="E34" s="23" t="inlineStr">
        <is>
          <t>IT</t>
        </is>
      </c>
      <c r="F34" s="19" t="inlineStr">
        <is>
          <t>1 → 5 → 25 นาที</t>
        </is>
      </c>
    </row>
    <row r="35" ht="24" customHeight="1">
      <c r="A35" s="24" t="inlineStr">
        <is>
          <t>SYNC_INTERVAL_MINUTES</t>
        </is>
      </c>
      <c r="B35" s="17" t="inlineStr">
        <is>
          <t>เชื่อมต่อ B1</t>
        </is>
      </c>
      <c r="C35" s="29" t="inlineStr">
        <is>
          <t>30</t>
        </is>
      </c>
      <c r="D35" s="5" t="inlineStr">
        <is>
          <t>ดึงข้อมูลธุรกรรมจาก B1 ทุกกี่นาที</t>
        </is>
      </c>
      <c r="E35" s="23" t="inlineStr">
        <is>
          <t>IT + ผู้ดูแล B1</t>
        </is>
      </c>
      <c r="F35" s="19" t="inlineStr"/>
    </row>
    <row r="36" ht="24" customHeight="1">
      <c r="A36" s="24" t="inlineStr">
        <is>
          <t>SYNC_MASTER_TIME</t>
        </is>
      </c>
      <c r="B36" s="17" t="inlineStr">
        <is>
          <t>เชื่อมต่อ B1</t>
        </is>
      </c>
      <c r="C36" s="29" t="inlineStr">
        <is>
          <t>02:00</t>
        </is>
      </c>
      <c r="D36" s="5" t="inlineStr">
        <is>
          <t>ดึงข้อมูล master (ผู้ขาย/สินค้า) ตอนกี่โมง</t>
        </is>
      </c>
      <c r="E36" s="23" t="inlineStr">
        <is>
          <t>IT + ผู้ดูแล B1</t>
        </is>
      </c>
      <c r="F36" s="19" t="inlineStr"/>
    </row>
    <row r="37" ht="24" customHeight="1">
      <c r="A37" s="24" t="inlineStr">
        <is>
          <t>SYNC_OVERLAP_DAYS</t>
        </is>
      </c>
      <c r="B37" s="17" t="inlineStr">
        <is>
          <t>เชื่อมต่อ B1</t>
        </is>
      </c>
      <c r="C37" s="29" t="inlineStr">
        <is>
          <t>1</t>
        </is>
      </c>
      <c r="D37" s="5" t="inlineStr">
        <is>
          <t>ย้อนดึงซ้ำกี่วันกันตกหล่น</t>
        </is>
      </c>
      <c r="E37" s="23" t="inlineStr">
        <is>
          <t>IT</t>
        </is>
      </c>
      <c r="F37" s="19" t="inlineStr">
        <is>
          <t>UpdateDate ของ B1 เก็บระดับวัน</t>
        </is>
      </c>
    </row>
    <row r="38" ht="24" customHeight="1">
      <c r="A38" s="24" t="inlineStr">
        <is>
          <t>SYNC_STALE_WARN_MINUTES</t>
        </is>
      </c>
      <c r="B38" s="17" t="inlineStr">
        <is>
          <t>เชื่อมต่อ B1</t>
        </is>
      </c>
      <c r="C38" s="29" t="inlineStr">
        <is>
          <t>90</t>
        </is>
      </c>
      <c r="D38" s="5" t="inlineStr">
        <is>
          <t>ข้อมูลเก่ากว่ากี่นาทีจึงขึ้นแบนเนอร์เตือน</t>
        </is>
      </c>
      <c r="E38" s="23" t="inlineStr">
        <is>
          <t>IT</t>
        </is>
      </c>
      <c r="F38" s="19" t="inlineStr"/>
    </row>
    <row r="39" ht="24" customHeight="1">
      <c r="A39" s="24" t="inlineStr">
        <is>
          <t>ISSUE_ACK_SLA_HOURS</t>
        </is>
      </c>
      <c r="B39" s="17" t="inlineStr">
        <is>
          <t>แจ้งบั๊ก</t>
        </is>
      </c>
      <c r="C39" s="26" t="inlineStr">
        <is>
          <t>8</t>
        </is>
      </c>
      <c r="D39" s="5" t="inlineStr">
        <is>
          <t>IT ต้องรับเรื่องภายในกี่ชั่วโมงทำการ</t>
        </is>
      </c>
      <c r="E39" s="23" t="inlineStr">
        <is>
          <t>IT</t>
        </is>
      </c>
      <c r="F39" s="19" t="inlineStr"/>
    </row>
    <row r="40" ht="24" customHeight="1">
      <c r="A40" s="24" t="inlineStr">
        <is>
          <t>DRIVE_ROOT_NAME</t>
        </is>
      </c>
      <c r="B40" s="17" t="inlineStr">
        <is>
          <t>ไฟล์และไดรฟ์</t>
        </is>
      </c>
      <c r="C40" s="29" t="inlineStr">
        <is>
          <t>MGS-Documents</t>
        </is>
      </c>
      <c r="D40" s="5" t="inlineStr">
        <is>
          <t>ชื่อ Shared drive กลางที่เดียวของทั้งบริษัท</t>
        </is>
      </c>
      <c r="E40" s="23" t="inlineStr">
        <is>
          <t>IT</t>
        </is>
      </c>
      <c r="F40" s="19" t="inlineStr">
        <is>
          <t>ย้ายไดรฟ์ = ย้ายไฟล์ทั้งระบบ ต้องวางแผนก่อน</t>
        </is>
      </c>
    </row>
    <row r="41" ht="24" customHeight="1">
      <c r="A41" s="24" t="inlineStr">
        <is>
          <t>CASH_LIMIT</t>
        </is>
      </c>
      <c r="B41" s="17" t="inlineStr">
        <is>
          <t>ซื้อเงินสด</t>
        </is>
      </c>
      <c r="C41" s="26" t="inlineStr">
        <is>
          <t>50,000</t>
        </is>
      </c>
      <c r="D41" s="5" t="inlineStr">
        <is>
          <t>เพดานยอดซื้อเงินสดต่อรายการ เกินกว่านี้ต้องเปิด PO (กฎ C4)</t>
        </is>
      </c>
      <c r="E41" s="23" t="inlineStr">
        <is>
          <t>ผู้บริหาร + AC</t>
        </is>
      </c>
      <c r="F41" s="19" t="inlineStr">
        <is>
          <t>ตั้งไว้เท่าวงเงินอนุมัติจ่าย — ยังไม่มีใครยืนยัน</t>
        </is>
      </c>
    </row>
    <row r="42" ht="24" customHeight="1">
      <c r="A42" s="24" t="inlineStr">
        <is>
          <t>CASH_QC_BYPASS_ENABLED</t>
        </is>
      </c>
      <c r="B42" s="17" t="inlineStr">
        <is>
          <t>ซื้อเงินสด</t>
        </is>
      </c>
      <c r="C42" s="26" t="inlineStr">
        <is>
          <t>เปิด</t>
        </is>
      </c>
      <c r="D42" s="5" t="inlineStr">
        <is>
          <t>อนุญาตให้ติ๊กข้าม QC ได้หรือไม่</t>
        </is>
      </c>
      <c r="E42" s="23" t="inlineStr">
        <is>
          <t>หัวหน้า QC</t>
        </is>
      </c>
      <c r="F42" s="19" t="inlineStr">
        <is>
          <t>ปิด = ห้ามข้าม QC ทุกกรณี ต้องตรวจทุกล็อต</t>
        </is>
      </c>
    </row>
    <row r="43" ht="24" customHeight="1">
      <c r="A43" s="24" t="inlineStr">
        <is>
          <t>MERGE_ON_COMPLETE</t>
        </is>
      </c>
      <c r="B43" s="17" t="inlineStr">
        <is>
          <t>รวมไฟล์</t>
        </is>
      </c>
      <c r="C43" s="29" t="inlineStr">
        <is>
          <t>เปิด</t>
        </is>
      </c>
      <c r="D43" s="5" t="inlineStr">
        <is>
          <t>รวมเอกสารเป็นไฟล์เดียวอัตโนมัติเมื่อปิดรายการ</t>
        </is>
      </c>
      <c r="E43" s="23" t="inlineStr">
        <is>
          <t>AC</t>
        </is>
      </c>
      <c r="F43" s="19" t="inlineStr"/>
    </row>
    <row r="44" ht="24" customHeight="1">
      <c r="A44" s="24" t="inlineStr">
        <is>
          <t>MERGE_KEEP_DAYS</t>
        </is>
      </c>
      <c r="B44" s="17" t="inlineStr">
        <is>
          <t>รวมไฟล์</t>
        </is>
      </c>
      <c r="C44" s="26" t="inlineStr">
        <is>
          <t>90</t>
        </is>
      </c>
      <c r="D44" s="5" t="inlineStr">
        <is>
          <t>เก็บต้นฉบับต่ออีกกี่วันหลังรวมเล่ม แล้วจึงลบ (0 = ไม่ลบเลย)</t>
        </is>
      </c>
      <c r="E44" s="23" t="inlineStr">
        <is>
          <t>AC + ผู้สอบบัญชี</t>
        </is>
      </c>
      <c r="F44" s="19" t="inlineStr">
        <is>
          <t>ค่านี้คือสิ่งที่ทำให้พื้นที่ไม่บวมจากการรวมไฟล์ — ยังไม่มีใครยืนยัน</t>
        </is>
      </c>
    </row>
    <row r="45" ht="24" customHeight="1">
      <c r="A45" s="24" t="inlineStr">
        <is>
          <t>STAMP_DEFAULT_POSITION</t>
        </is>
      </c>
      <c r="B45" s="17" t="inlineStr">
        <is>
          <t>ขอทำจ่าย</t>
        </is>
      </c>
      <c r="C45" s="29" t="inlineStr">
        <is>
          <t>BR</t>
        </is>
      </c>
      <c r="D45" s="5" t="inlineStr">
        <is>
          <t>ตำแหน่งเริ่มต้นของข้อความที่ประทับ (TL/TR/BR/CT)</t>
        </is>
      </c>
      <c r="E45" s="23" t="inlineStr">
        <is>
          <t>AC</t>
        </is>
      </c>
      <c r="F45" s="19" t="inlineStr"/>
    </row>
    <row r="46" ht="24" customHeight="1">
      <c r="A46" s="24" t="inlineStr">
        <is>
          <t>STAMP_DEFAULT_SIZE_PT</t>
        </is>
      </c>
      <c r="B46" s="17" t="inlineStr">
        <is>
          <t>ขอทำจ่าย</t>
        </is>
      </c>
      <c r="C46" s="29" t="inlineStr">
        <is>
          <t>13</t>
        </is>
      </c>
      <c r="D46" s="5" t="inlineStr">
        <is>
          <t>ขนาดตัวอักษรเริ่มต้นของข้อความที่ประทับ</t>
        </is>
      </c>
      <c r="E46" s="23" t="inlineStr">
        <is>
          <t>AC</t>
        </is>
      </c>
      <c r="F46" s="19" t="inlineStr"/>
    </row>
    <row r="48">
      <c r="A48" s="10" t="inlineStr">
        <is>
          <t>ค่าที่ยังต้องให้ทีมยืนยัน</t>
        </is>
      </c>
      <c r="C48" s="25" t="inlineStr">
        <is>
          <t>25</t>
        </is>
      </c>
    </row>
    <row r="49">
      <c r="A49" s="10" t="inlineStr">
        <is>
          <t>ค่าทั้งหมด</t>
        </is>
      </c>
      <c r="C49" s="25">
        <f>COUNTA(A5:A46)</f>
        <v/>
      </c>
    </row>
  </sheetData>
  <autoFilter ref="A4:F46"/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D33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30" customWidth="1" min="4" max="4"/>
    <col width="16" customWidth="1" min="5" max="5"/>
    <col width="16" customWidth="1" min="6" max="6"/>
    <col width="30" customWidth="1" min="7" max="7"/>
  </cols>
  <sheetData>
    <row r="1" ht="26" customHeight="1">
      <c r="A1" s="1" t="inlineStr">
        <is>
          <t>เชื่อมต่อ SAP Business One</t>
        </is>
      </c>
    </row>
    <row r="2" ht="30" customHeight="1">
      <c r="A2" s="2" t="inlineStr">
        <is>
          <t>อ่านอย่างเดียว ไม่เขียนกลับ · ตัวส่งข้อมูลรันในออฟฟิศแล้วผลักออกมา ไม่ต้องเปิดพอร์ตเข้า</t>
        </is>
      </c>
    </row>
    <row r="4" ht="30" customHeight="1">
      <c r="A4" s="16" t="inlineStr">
        <is>
          <t>ข้อมูลในระบบเรา</t>
        </is>
      </c>
      <c r="B4" s="16" t="inlineStr">
        <is>
          <t>ตารางใน B1</t>
        </is>
      </c>
      <c r="C4" s="16" t="inlineStr">
        <is>
          <t>ฟิลด์ที่ใช้</t>
        </is>
      </c>
      <c r="D4" s="16" t="inlineStr">
        <is>
          <t>ใช้ทำอะไร</t>
        </is>
      </c>
      <c r="E4" s="16" t="inlineStr">
        <is>
          <t>ความถี่</t>
        </is>
      </c>
      <c r="F4" s="16" t="inlineStr">
        <is>
          <t>คีย์จับคู่</t>
        </is>
      </c>
      <c r="G4" s="16" t="inlineStr">
        <is>
          <t>หมายเหตุของทีม</t>
        </is>
      </c>
    </row>
    <row r="5" ht="46" customHeight="1">
      <c r="A5" s="10" t="inlineStr">
        <is>
          <t>PO (หัวเอกสาร)</t>
        </is>
      </c>
      <c r="B5" s="18" t="inlineStr">
        <is>
          <t>OPOR</t>
        </is>
      </c>
      <c r="C5" s="30" t="inlineStr">
        <is>
          <t>DocEntry, DocNum, CardCode, CardName, DocDate, DocDueDate, DocTotal, DocCur, GroupNum, DocStatus, CANCELED, UpdateDate</t>
        </is>
      </c>
      <c r="D5" s="5" t="inlineStr">
        <is>
          <t>เลข PO · ผู้ขาย · มูลค่า · เงื่อนไขชำระ</t>
        </is>
      </c>
      <c r="E5" s="23" t="inlineStr">
        <is>
          <t>ทุก 30 นาที</t>
        </is>
      </c>
      <c r="F5" s="18" t="inlineStr">
        <is>
          <t>DocEntry</t>
        </is>
      </c>
      <c r="G5" s="19" t="inlineStr"/>
    </row>
    <row r="6" ht="46" customHeight="1">
      <c r="A6" s="10" t="inlineStr">
        <is>
          <t>PO (บรรทัด)</t>
        </is>
      </c>
      <c r="B6" s="18" t="inlineStr">
        <is>
          <t>POR1</t>
        </is>
      </c>
      <c r="C6" s="30" t="inlineStr">
        <is>
          <t>LineNum, ItemCode, Dscription, Quantity, unitMsr, Price, LineTotal, OpenQty, WhsCode</t>
        </is>
      </c>
      <c r="D6" s="5" t="inlineStr">
        <is>
          <t>สินค้า จำนวน หน่วย · OpenQty บอกว่ายังค้างรับเท่าไหร่</t>
        </is>
      </c>
      <c r="E6" s="23" t="inlineStr">
        <is>
          <t>ทุก 30 นาที</t>
        </is>
      </c>
      <c r="F6" s="18" t="inlineStr">
        <is>
          <t>DocEntry + LineNum</t>
        </is>
      </c>
      <c r="G6" s="19" t="inlineStr"/>
    </row>
    <row r="7" ht="46" customHeight="1">
      <c r="A7" s="10" t="inlineStr">
        <is>
          <t>ผู้ขาย</t>
        </is>
      </c>
      <c r="B7" s="18" t="inlineStr">
        <is>
          <t>OCRD</t>
        </is>
      </c>
      <c r="C7" s="30" t="inlineStr">
        <is>
          <t>CardCode, CardName, LicTradNum, E_Mail, Phone1, Currency (CardType='S')</t>
        </is>
      </c>
      <c r="D7" s="5" t="inlineStr">
        <is>
          <t>ชื่อผู้ขายสะกดตรงกันทุกใบ + อีเมลส่งสลิป</t>
        </is>
      </c>
      <c r="E7" s="23" t="inlineStr">
        <is>
          <t>ทุกคืน</t>
        </is>
      </c>
      <c r="F7" s="18" t="inlineStr">
        <is>
          <t>CardCode</t>
        </is>
      </c>
      <c r="G7" s="19" t="inlineStr"/>
    </row>
    <row r="8" ht="46" customHeight="1">
      <c r="A8" s="10" t="inlineStr">
        <is>
          <t>สินค้า</t>
        </is>
      </c>
      <c r="B8" s="18" t="inlineStr">
        <is>
          <t>OITM</t>
        </is>
      </c>
      <c r="C8" s="30" t="inlineStr">
        <is>
          <t>ItemCode, ItemName, InvntryUom, ItmsGrpCod</t>
        </is>
      </c>
      <c r="D8" s="5" t="inlineStr">
        <is>
          <t>ยืนยันว่ารหัสสินค้าเปิดใน B1 แล้วจริง</t>
        </is>
      </c>
      <c r="E8" s="23" t="inlineStr">
        <is>
          <t>ทุกคืน</t>
        </is>
      </c>
      <c r="F8" s="18" t="inlineStr">
        <is>
          <t>ItemCode</t>
        </is>
      </c>
      <c r="G8" s="19" t="inlineStr"/>
    </row>
    <row r="9" ht="46" customHeight="1">
      <c r="A9" s="10" t="inlineStr">
        <is>
          <t>ใบรับสินค้า (GRPO)</t>
        </is>
      </c>
      <c r="B9" s="18" t="inlineStr">
        <is>
          <t>OPDN / PDN1</t>
        </is>
      </c>
      <c r="C9" s="30" t="inlineStr">
        <is>
          <t>DocNum, DocDate · ItemCode, Quantity, BaseEntry, BaseLine, BaseType</t>
        </is>
      </c>
      <c r="D9" s="5" t="inlineStr">
        <is>
          <t>BaseType = 22 คือโยงกลับไปใบสั่งซื้อ</t>
        </is>
      </c>
      <c r="E9" s="23" t="inlineStr">
        <is>
          <t>ทุก 30 นาที</t>
        </is>
      </c>
      <c r="F9" s="18" t="inlineStr">
        <is>
          <t>DocEntry + LineNum</t>
        </is>
      </c>
      <c r="G9" s="19" t="inlineStr">
        <is>
          <t>BaseType 22=PO, 20=GRPO, 18=A/P Invoice</t>
        </is>
      </c>
    </row>
    <row r="10" ht="46" customHeight="1">
      <c r="A10" s="10" t="inlineStr">
        <is>
          <t>ใบแจ้งหนี้ผู้ขาย</t>
        </is>
      </c>
      <c r="B10" s="18" t="inlineStr">
        <is>
          <t>OPCH / PCH1</t>
        </is>
      </c>
      <c r="C10" s="30" t="inlineStr">
        <is>
          <t>DocNum, NumAtCard, DocDate, DocTotal, VatSum · BaseEntry, BaseType</t>
        </is>
      </c>
      <c r="D10" s="5" t="inlineStr">
        <is>
          <t>NumAtCard = เลขใบแจ้งหนี้ของผู้ขาย ใช้ตรวจ 3 ทาง + กันรับซ้ำ</t>
        </is>
      </c>
      <c r="E10" s="23" t="inlineStr">
        <is>
          <t>ทุก 30 นาที</t>
        </is>
      </c>
      <c r="F10" s="18" t="inlineStr">
        <is>
          <t>DocEntry</t>
        </is>
      </c>
      <c r="G10" s="19" t="inlineStr"/>
    </row>
    <row r="11" ht="46" customHeight="1">
      <c r="A11" s="10" t="inlineStr">
        <is>
          <t>การจ่ายเงินออก</t>
        </is>
      </c>
      <c r="B11" s="18" t="inlineStr">
        <is>
          <t>OVPM / VPM2</t>
        </is>
      </c>
      <c r="C11" s="30" t="inlineStr">
        <is>
          <t>DocNum, DocDate, TrsfrSum, TrsfrRef, TrsfrDate, TrsfrAcct · ใบแจ้งหนี้ที่จ่าย</t>
        </is>
      </c>
      <c r="D11" s="5" t="inlineStr">
        <is>
          <t>เทียบกับที่บันทึกในระบบเรา — เจอทันทีถ้าไม่ตรง</t>
        </is>
      </c>
      <c r="E11" s="23" t="inlineStr">
        <is>
          <t>ทุก 30 นาที</t>
        </is>
      </c>
      <c r="F11" s="18" t="inlineStr">
        <is>
          <t>DocEntry</t>
        </is>
      </c>
      <c r="G11" s="19" t="inlineStr">
        <is>
          <t>ของแถมที่มีค่ามาก วันนี้ไม่มีใครเห็น</t>
        </is>
      </c>
    </row>
    <row r="12" ht="46" customHeight="1">
      <c r="A12" s="10" t="inlineStr">
        <is>
          <t>เงื่อนไขชำระ</t>
        </is>
      </c>
      <c r="B12" s="18" t="inlineStr">
        <is>
          <t>OCTG</t>
        </is>
      </c>
      <c r="C12" s="30" t="inlineStr">
        <is>
          <t>GroupNum, PymntGroup, ExtraDays, ExtraMonth, NumOfInst, StartFrom</t>
        </is>
      </c>
      <c r="D12" s="5" t="inlineStr">
        <is>
          <t>แปลงเป็นงวดจ่ายอัตโนมัติ — งวดในระบบไม่มีทางไม่ตรงกับสัญญา</t>
        </is>
      </c>
      <c r="E12" s="23" t="inlineStr">
        <is>
          <t>ทุกคืน</t>
        </is>
      </c>
      <c r="F12" s="18" t="inlineStr">
        <is>
          <t>GroupNum</t>
        </is>
      </c>
      <c r="G12" s="19" t="inlineStr">
        <is>
          <t>ขอรายการที่ใช้จริงจากผู้ดูแล B1</t>
        </is>
      </c>
    </row>
    <row r="14">
      <c r="A14" s="28" t="inlineStr">
        <is>
          <t>ไม่ดึงข้อมูลเหล่านี้ (ตั้งใจไม่ขอ เพื่อให้อนุมัติสิทธิ์ผ่านง่าย)</t>
        </is>
      </c>
    </row>
    <row r="15">
      <c r="A15" s="5" t="inlineStr">
        <is>
          <t>• บัญชีแยกประเภท (OJDT / JDT1)</t>
        </is>
      </c>
      <c r="B15" s="12" t="n"/>
      <c r="C15" s="12" t="n"/>
      <c r="D15" s="13" t="n"/>
    </row>
    <row r="16">
      <c r="A16" s="5" t="inlineStr">
        <is>
          <t>• ต้นทุนสินค้า</t>
        </is>
      </c>
      <c r="B16" s="12" t="n"/>
      <c r="C16" s="12" t="n"/>
      <c r="D16" s="13" t="n"/>
    </row>
    <row r="17">
      <c r="A17" s="5" t="inlineStr">
        <is>
          <t>• ข้อมูลลูกค้า</t>
        </is>
      </c>
      <c r="B17" s="12" t="n"/>
      <c r="C17" s="12" t="n"/>
      <c r="D17" s="13" t="n"/>
    </row>
    <row r="18">
      <c r="A18" s="5" t="inlineStr">
        <is>
          <t>• ข้อมูลพนักงาน / เงินเดือน</t>
        </is>
      </c>
      <c r="B18" s="12" t="n"/>
      <c r="C18" s="12" t="n"/>
      <c r="D18" s="13" t="n"/>
    </row>
    <row r="20">
      <c r="A20" s="28" t="inlineStr">
        <is>
          <t>กฎการซิงก์</t>
        </is>
      </c>
    </row>
    <row r="21">
      <c r="A21" s="5" t="inlineStr">
        <is>
          <t>• Upsert ด้วย DocEntry ของ B1 ไม่ใช่ insert — ดึงซ้ำกี่ครั้งก็ไม่เกิดข้อมูลซ้ำ</t>
        </is>
      </c>
      <c r="B21" s="12" t="n"/>
      <c r="C21" s="12" t="n"/>
      <c r="D21" s="12" t="n"/>
      <c r="E21" s="12" t="n"/>
      <c r="F21" s="12" t="n"/>
      <c r="G21" s="13" t="n"/>
    </row>
    <row r="22">
      <c r="A22" s="5" t="inlineStr">
        <is>
          <t>• ดึงเฉพาะที่ UpdateDate เปลี่ยน + ย้อนซ้ำ 1 วันกันตกหล่น (UpdateDate ของ B1 เก็บระดับวัน)</t>
        </is>
      </c>
      <c r="B22" s="12" t="n"/>
      <c r="C22" s="12" t="n"/>
      <c r="D22" s="12" t="n"/>
      <c r="E22" s="12" t="n"/>
      <c r="F22" s="12" t="n"/>
      <c r="G22" s="13" t="n"/>
    </row>
    <row r="23">
      <c r="A23" s="5" t="inlineStr">
        <is>
          <t>• ไฟล์ไม่ครบ = ข้ามรอบ ไม่เขียนทับของเดิม — ข้อมูลเก่าที่ถูกต้องดีกว่าข้อมูลใหม่ที่พัง</t>
        </is>
      </c>
      <c r="B23" s="12" t="n"/>
      <c r="C23" s="12" t="n"/>
      <c r="D23" s="12" t="n"/>
      <c r="E23" s="12" t="n"/>
      <c r="F23" s="12" t="n"/>
      <c r="G23" s="13" t="n"/>
    </row>
    <row r="24">
      <c r="A24" s="5" t="inlineStr">
        <is>
          <t>• ผู้ใช้ฐานข้อมูลมีสิทธิ์ SELECT เท่านั้น จำกัดเฉพาะ 7 ตารางข้างบน</t>
        </is>
      </c>
      <c r="B24" s="12" t="n"/>
      <c r="C24" s="12" t="n"/>
      <c r="D24" s="12" t="n"/>
      <c r="E24" s="12" t="n"/>
      <c r="F24" s="12" t="n"/>
      <c r="G24" s="13" t="n"/>
    </row>
    <row r="25">
      <c r="A25" s="5" t="inlineStr">
        <is>
          <t>• บันทึกทุกรอบใน Sync_Log · ตรวจนับรายวันว่าจำนวน PO เปิดอยู่ตรงกับ B1</t>
        </is>
      </c>
      <c r="B25" s="12" t="n"/>
      <c r="C25" s="12" t="n"/>
      <c r="D25" s="12" t="n"/>
      <c r="E25" s="12" t="n"/>
      <c r="F25" s="12" t="n"/>
      <c r="G25" s="13" t="n"/>
    </row>
    <row r="26">
      <c r="A26" s="5" t="inlineStr">
        <is>
          <t>• B1 ล่ม = ระบบยังใช้ได้ ขึ้นป้ายบอกว่าข้อมูลเก่าแค่ไหน ไม่บล็อกการทำงาน</t>
        </is>
      </c>
      <c r="B26" s="12" t="n"/>
      <c r="C26" s="12" t="n"/>
      <c r="D26" s="12" t="n"/>
      <c r="E26" s="12" t="n"/>
      <c r="F26" s="12" t="n"/>
      <c r="G26" s="13" t="n"/>
    </row>
    <row r="28" ht="32" customHeight="1">
      <c r="A28" s="14" t="inlineStr">
        <is>
          <t>ยังไม่ทราบ: B1 รุ่นย่อย (9.x / 10.0) และฐานข้อมูลเป็น MS SQL หรือ HANA — ตัดสินว่าจะใช้ Service Layer (10.0 ขึ้นไป) หรืออ่าน SQL แบบ read-only (ได้ทุกรุ่น)</t>
        </is>
      </c>
      <c r="B28" s="12" t="n"/>
      <c r="C28" s="12" t="n"/>
      <c r="D28" s="12" t="n"/>
      <c r="E28" s="12" t="n"/>
      <c r="F28" s="12" t="n"/>
      <c r="G28" s="13" t="n"/>
    </row>
  </sheetData>
  <mergeCells count="13">
    <mergeCell ref="A17:D17"/>
    <mergeCell ref="A18:D18"/>
    <mergeCell ref="A1:G1"/>
    <mergeCell ref="A21:G21"/>
    <mergeCell ref="A22:G22"/>
    <mergeCell ref="A15:D15"/>
    <mergeCell ref="A24:G24"/>
    <mergeCell ref="A2:G2"/>
    <mergeCell ref="A26:G26"/>
    <mergeCell ref="A16:D16"/>
    <mergeCell ref="A25:G25"/>
    <mergeCell ref="A28:G28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02B30"/>
    <outlinePr summaryBelow="1" summaryRight="1"/>
    <pageSetUpPr/>
  </sheetPr>
  <dimension ref="A1:H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30" customWidth="1" min="4" max="4"/>
    <col width="18" customWidth="1" min="5" max="5"/>
    <col width="34" customWidth="1" min="6" max="6"/>
    <col width="16" customWidth="1" min="7" max="7"/>
    <col width="12" customWidth="1" min="8" max="8"/>
  </cols>
  <sheetData>
    <row r="1" ht="26" customHeight="1">
      <c r="A1" s="1" t="inlineStr">
        <is>
          <t>ประเด็นที่ต้องตัดสินใจก่อนขึ้นระบบ</t>
        </is>
      </c>
    </row>
    <row r="2" ht="30" customHeight="1">
      <c r="A2" s="2" t="inlineStr">
        <is>
          <t>รวบรวมจากทุกเอกสาร · ช่อง «คำตอบของทีม» และ «สถานะ» กรอกได้เลย — นี่คือแท็บที่ควรเปิดก่อนแท็บอื่น</t>
        </is>
      </c>
    </row>
    <row r="4" ht="30" customHeight="1">
      <c r="A4" s="16" t="inlineStr">
        <is>
          <t>#</t>
        </is>
      </c>
      <c r="B4" s="16" t="inlineStr">
        <is>
          <t>หมวด</t>
        </is>
      </c>
      <c r="C4" s="16" t="inlineStr">
        <is>
          <t>ประเด็น</t>
        </is>
      </c>
      <c r="D4" s="16" t="inlineStr">
        <is>
          <t>ค่าที่ผมตั้งไว้ก่อน</t>
        </is>
      </c>
      <c r="E4" s="16" t="inlineStr">
        <is>
          <t>ใครตัดสิน</t>
        </is>
      </c>
      <c r="F4" s="16" t="inlineStr">
        <is>
          <t>คำตอบของทีม</t>
        </is>
      </c>
      <c r="G4" s="16" t="inlineStr">
        <is>
          <t>สถานะ</t>
        </is>
      </c>
      <c r="H4" s="16" t="inlineStr">
        <is>
          <t>ความสำคัญ</t>
        </is>
      </c>
    </row>
    <row r="5" ht="28" customHeight="1">
      <c r="A5" s="17" t="n">
        <v>1</v>
      </c>
      <c r="B5" s="17" t="inlineStr">
        <is>
          <t>เชื่อมต่อ B1</t>
        </is>
      </c>
      <c r="C5" s="5" t="inlineStr">
        <is>
          <t>B1 รุ่นย่อยอะไร (9.x / 10.0) และฐานข้อมูล MS SQL หรือ HANA</t>
        </is>
      </c>
      <c r="D5" s="31" t="inlineStr">
        <is>
          <t>ยังไม่ทราบ</t>
        </is>
      </c>
      <c r="E5" s="17" t="inlineStr">
        <is>
          <t>ผู้ดูแล B1</t>
        </is>
      </c>
      <c r="F5" s="19" t="inlineStr"/>
      <c r="G5" s="23" t="inlineStr">
        <is>
          <t>รอตัดสินใจ</t>
        </is>
      </c>
      <c r="H5" s="23" t="inlineStr">
        <is>
          <t>สูง</t>
        </is>
      </c>
    </row>
    <row r="6" ht="28" customHeight="1">
      <c r="A6" s="17" t="n">
        <v>2</v>
      </c>
      <c r="B6" s="17" t="inlineStr">
        <is>
          <t>เชื่อมต่อ B1</t>
        </is>
      </c>
      <c r="C6" s="5" t="inlineStr">
        <is>
          <t>ใครดูแล B1 และขอสิทธิ์อ่าน 7 ตารางต้องผ่านใคร</t>
        </is>
      </c>
      <c r="D6" s="31" t="inlineStr">
        <is>
          <t>ยังไม่ทราบ</t>
        </is>
      </c>
      <c r="E6" s="17" t="inlineStr">
        <is>
          <t>IT + ผู้บริหาร</t>
        </is>
      </c>
      <c r="F6" s="19" t="inlineStr"/>
      <c r="G6" s="23" t="inlineStr">
        <is>
          <t>รอตัดสินใจ</t>
        </is>
      </c>
      <c r="H6" s="23" t="inlineStr">
        <is>
          <t>สูง</t>
        </is>
      </c>
    </row>
    <row r="7" ht="28" customHeight="1">
      <c r="A7" s="17" t="n">
        <v>3</v>
      </c>
      <c r="B7" s="17" t="inlineStr">
        <is>
          <t>เชื่อมต่อ B1</t>
        </is>
      </c>
      <c r="C7" s="5" t="inlineStr">
        <is>
          <t>มี job ส่งออกข้อมูลจาก B1 อยู่แล้วหรือไม่ (B1if / Crystal / SQL Agent)</t>
        </is>
      </c>
      <c r="D7" s="31" t="inlineStr">
        <is>
          <t>ยังไม่ทราบ</t>
        </is>
      </c>
      <c r="E7" s="17" t="inlineStr">
        <is>
          <t>ผู้ดูแล B1</t>
        </is>
      </c>
      <c r="F7" s="19" t="inlineStr"/>
      <c r="G7" s="23" t="inlineStr">
        <is>
          <t>รอตัดสินใจ</t>
        </is>
      </c>
      <c r="H7" s="23" t="inlineStr">
        <is>
          <t>กลาง</t>
        </is>
      </c>
    </row>
    <row r="8" ht="28" customHeight="1">
      <c r="A8" s="17" t="n">
        <v>4</v>
      </c>
      <c r="B8" s="17" t="inlineStr">
        <is>
          <t>เชื่อมต่อ B1</t>
        </is>
      </c>
      <c r="C8" s="5" t="inlineStr">
        <is>
          <t>รายการเงื่อนไขชำระ (OCTG) ที่บริษัทใช้จริงมีกี่แบบ</t>
        </is>
      </c>
      <c r="D8" s="31" t="inlineStr">
        <is>
          <t>ยังไม่ทราบ</t>
        </is>
      </c>
      <c r="E8" s="17" t="inlineStr">
        <is>
          <t>AC + ผู้ดูแล B1</t>
        </is>
      </c>
      <c r="F8" s="19" t="inlineStr"/>
      <c r="G8" s="23" t="inlineStr">
        <is>
          <t>รอตัดสินใจ</t>
        </is>
      </c>
      <c r="H8" s="23" t="inlineStr">
        <is>
          <t>สูง</t>
        </is>
      </c>
    </row>
    <row r="9" ht="28" customHeight="1">
      <c r="A9" s="17" t="n">
        <v>5</v>
      </c>
      <c r="B9" s="17" t="inlineStr">
        <is>
          <t>เชื่อมต่อ B1</t>
        </is>
      </c>
      <c r="C9" s="5" t="inlineStr">
        <is>
          <t>มีเครื่องในออฟฟิศที่เปิดตลอดและรัน scheduled task ได้หรือไม่</t>
        </is>
      </c>
      <c r="D9" s="31" t="inlineStr">
        <is>
          <t>ยังไม่ทราบ</t>
        </is>
      </c>
      <c r="E9" s="17" t="inlineStr">
        <is>
          <t>IT</t>
        </is>
      </c>
      <c r="F9" s="19" t="inlineStr"/>
      <c r="G9" s="23" t="inlineStr">
        <is>
          <t>รอตัดสินใจ</t>
        </is>
      </c>
      <c r="H9" s="23" t="inlineStr">
        <is>
          <t>สูง</t>
        </is>
      </c>
    </row>
    <row r="10" ht="28" customHeight="1">
      <c r="A10" s="17" t="n">
        <v>6</v>
      </c>
      <c r="B10" s="17" t="inlineStr">
        <is>
          <t>เชื่อมต่อ B1</t>
        </is>
      </c>
      <c r="C10" s="5" t="inlineStr">
        <is>
          <t>ตารางงวดชำระต่อเอกสารใน B1 ชื่ออะไรในรุ่นที่ใช้</t>
        </is>
      </c>
      <c r="D10" s="31" t="inlineStr">
        <is>
          <t>ยังไม่ยืนยัน</t>
        </is>
      </c>
      <c r="E10" s="17" t="inlineStr">
        <is>
          <t>ผู้ดูแล B1</t>
        </is>
      </c>
      <c r="F10" s="19" t="inlineStr"/>
      <c r="G10" s="23" t="inlineStr">
        <is>
          <t>รอตัดสินใจ</t>
        </is>
      </c>
      <c r="H10" s="23" t="inlineStr">
        <is>
          <t>กลาง</t>
        </is>
      </c>
    </row>
    <row r="11" ht="28" customHeight="1">
      <c r="A11" s="17" t="n">
        <v>7</v>
      </c>
      <c r="B11" s="17" t="inlineStr">
        <is>
          <t>ซื้อเงินสด</t>
        </is>
      </c>
      <c r="C11" s="5" t="inlineStr">
        <is>
          <t>เพดานยอดซื้อเงินสดต่อรายการควรเป็นเท่าไหร่</t>
        </is>
      </c>
      <c r="D11" s="31" t="inlineStr">
        <is>
          <t>50,000 บาท</t>
        </is>
      </c>
      <c r="E11" s="17" t="inlineStr">
        <is>
          <t>ผู้บริหาร + AC</t>
        </is>
      </c>
      <c r="F11" s="19" t="inlineStr"/>
      <c r="G11" s="23" t="inlineStr">
        <is>
          <t>รอตัดสินใจ</t>
        </is>
      </c>
      <c r="H11" s="23" t="inlineStr">
        <is>
          <t>สูง</t>
        </is>
      </c>
    </row>
    <row r="12" ht="28" customHeight="1">
      <c r="A12" s="17" t="n">
        <v>8</v>
      </c>
      <c r="B12" s="17" t="inlineStr">
        <is>
          <t>ซื้อเงินสด</t>
        </is>
      </c>
      <c r="C12" s="5" t="inlineStr">
        <is>
          <t>ใครมีสิทธิ์อนุมัติการข้าม QC — หัวหน้า QC เท่านั้น หรือจัดซื้อระบุเองได้</t>
        </is>
      </c>
      <c r="D12" s="31" t="inlineStr">
        <is>
          <t>จัดซื้อระบุเอง แล้วหัวหน้า QC เห็นย้อนหลังทุกใบ</t>
        </is>
      </c>
      <c r="E12" s="17" t="inlineStr">
        <is>
          <t>หัวหน้า QC</t>
        </is>
      </c>
      <c r="F12" s="19" t="inlineStr"/>
      <c r="G12" s="23" t="inlineStr">
        <is>
          <t>รอตัดสินใจ</t>
        </is>
      </c>
      <c r="H12" s="23" t="inlineStr">
        <is>
          <t>สูง</t>
        </is>
      </c>
    </row>
    <row r="13" ht="28" customHeight="1">
      <c r="A13" s="17" t="n">
        <v>9</v>
      </c>
      <c r="B13" s="17" t="inlineStr">
        <is>
          <t>ซื้อเงินสด</t>
        </is>
      </c>
      <c r="C13" s="5" t="inlineStr">
        <is>
          <t>เงินสดที่พนักงานสำรองจ่าย ต้องมีสายอนุมัติเบิกคืนแยกหรือไม่</t>
        </is>
      </c>
      <c r="D13" s="31" t="inlineStr">
        <is>
          <t>ยังไม่ทำ — บันทึกไว้เฉย ๆ</t>
        </is>
      </c>
      <c r="E13" s="17" t="inlineStr">
        <is>
          <t>AC</t>
        </is>
      </c>
      <c r="F13" s="19" t="inlineStr"/>
      <c r="G13" s="23" t="inlineStr">
        <is>
          <t>รอตัดสินใจ</t>
        </is>
      </c>
      <c r="H13" s="23" t="inlineStr">
        <is>
          <t>กลาง</t>
        </is>
      </c>
    </row>
    <row r="14" ht="28" customHeight="1">
      <c r="A14" s="17" t="n">
        <v>10</v>
      </c>
      <c r="B14" s="17" t="inlineStr">
        <is>
          <t>รวมไฟล์</t>
        </is>
      </c>
      <c r="C14" s="5" t="inlineStr">
        <is>
          <t>ต้องเก็บไฟล์ต้นฉบับตามกฎหมายกี่ปี หรือเก็บไฟล์รวมพอ</t>
        </is>
      </c>
      <c r="D14" s="31" t="inlineStr">
        <is>
          <t>เก็บต้นฉบับ 90 วันหลังรวมเล่มแล้วลบ</t>
        </is>
      </c>
      <c r="E14" s="17" t="inlineStr">
        <is>
          <t>AC + ผู้สอบบัญชี</t>
        </is>
      </c>
      <c r="F14" s="19" t="inlineStr"/>
      <c r="G14" s="23" t="inlineStr">
        <is>
          <t>รอตัดสินใจ</t>
        </is>
      </c>
      <c r="H14" s="23" t="inlineStr">
        <is>
          <t>สูง</t>
        </is>
      </c>
    </row>
    <row r="15" ht="28" customHeight="1">
      <c r="A15" s="17" t="n">
        <v>11</v>
      </c>
      <c r="B15" s="17" t="inlineStr">
        <is>
          <t>รวมไฟล์</t>
        </is>
      </c>
      <c r="C15" s="5" t="inlineStr">
        <is>
          <t>ไฟล์รวมต้องใส่รหัสผ่านหรือลายน้ำ «สำเนา» หรือไม่</t>
        </is>
      </c>
      <c r="D15" s="31" t="inlineStr">
        <is>
          <t>ไม่ใส่</t>
        </is>
      </c>
      <c r="E15" s="17" t="inlineStr">
        <is>
          <t>AC</t>
        </is>
      </c>
      <c r="F15" s="19" t="inlineStr"/>
      <c r="G15" s="23" t="inlineStr">
        <is>
          <t>รอตัดสินใจ</t>
        </is>
      </c>
      <c r="H15" s="23" t="inlineStr">
        <is>
          <t>ต่ำ</t>
        </is>
      </c>
    </row>
    <row r="16" ht="28" customHeight="1">
      <c r="A16" s="17" t="n">
        <v>12</v>
      </c>
      <c r="B16" s="17" t="inlineStr">
        <is>
          <t>ขอทำจ่าย</t>
        </is>
      </c>
      <c r="C16" s="5" t="inlineStr">
        <is>
          <t>ข้อความที่ประทับลงเอกสารต้องมีลายเซ็นดิจิทัลหรือ QR ตรวจสอบหรือไม่</t>
        </is>
      </c>
      <c r="D16" s="31" t="inlineStr">
        <is>
          <t>ข้อความอย่างเดียว ไม่มี QR</t>
        </is>
      </c>
      <c r="E16" s="17" t="inlineStr">
        <is>
          <t>AC + ผู้สอบบัญชี</t>
        </is>
      </c>
      <c r="F16" s="19" t="inlineStr"/>
      <c r="G16" s="23" t="inlineStr">
        <is>
          <t>รอตัดสินใจ</t>
        </is>
      </c>
      <c r="H16" s="23" t="inlineStr">
        <is>
          <t>กลาง</t>
        </is>
      </c>
    </row>
    <row r="17" ht="28" customHeight="1">
      <c r="A17" s="17" t="n">
        <v>13</v>
      </c>
      <c r="B17" s="17" t="inlineStr">
        <is>
          <t>จ่ายเงิน</t>
        </is>
      </c>
      <c r="C17" s="5" t="inlineStr">
        <is>
          <t>วงเงินที่หัวหน้าบัญชีอนุมัติได้เอง</t>
        </is>
      </c>
      <c r="D17" s="31" t="inlineStr">
        <is>
          <t>50,000 บาท</t>
        </is>
      </c>
      <c r="E17" s="17" t="inlineStr">
        <is>
          <t>AC + ผู้บริหาร</t>
        </is>
      </c>
      <c r="F17" s="19" t="inlineStr"/>
      <c r="G17" s="23" t="inlineStr">
        <is>
          <t>รอตัดสินใจ</t>
        </is>
      </c>
      <c r="H17" s="23" t="inlineStr">
        <is>
          <t>สูง</t>
        </is>
      </c>
    </row>
    <row r="18" ht="28" customHeight="1">
      <c r="A18" s="17" t="n">
        <v>14</v>
      </c>
      <c r="B18" s="17" t="inlineStr">
        <is>
          <t>จ่ายเงิน</t>
        </is>
      </c>
      <c r="C18" s="5" t="inlineStr">
        <is>
          <t>อัตราภาษีหัก ณ ที่จ่ายที่บริษัทใช้จริง และประเภทรายจ่ายที่ต้องมี</t>
        </is>
      </c>
      <c r="D18" s="31" t="inlineStr">
        <is>
          <t>0/1/3/5/2%</t>
        </is>
      </c>
      <c r="E18" s="17" t="inlineStr">
        <is>
          <t>AC</t>
        </is>
      </c>
      <c r="F18" s="19" t="inlineStr"/>
      <c r="G18" s="23" t="inlineStr">
        <is>
          <t>รอตัดสินใจ</t>
        </is>
      </c>
      <c r="H18" s="23" t="inlineStr">
        <is>
          <t>สูง</t>
        </is>
      </c>
    </row>
    <row r="19" ht="28" customHeight="1">
      <c r="A19" s="17" t="n">
        <v>15</v>
      </c>
      <c r="B19" s="17" t="inlineStr">
        <is>
          <t>จ่ายเงิน</t>
        </is>
      </c>
      <c r="C19" s="5" t="inlineStr">
        <is>
          <t>ค่าธรรมเนียมโอน ปกติบริษัทรับภาระหรือหักจากผู้ขาย</t>
        </is>
      </c>
      <c r="D19" s="31" t="inlineStr">
        <is>
          <t>บริษัทรับภาระ</t>
        </is>
      </c>
      <c r="E19" s="17" t="inlineStr">
        <is>
          <t>AC</t>
        </is>
      </c>
      <c r="F19" s="19" t="inlineStr"/>
      <c r="G19" s="23" t="inlineStr">
        <is>
          <t>รอตัดสินใจ</t>
        </is>
      </c>
      <c r="H19" s="23" t="inlineStr">
        <is>
          <t>กลาง</t>
        </is>
      </c>
    </row>
    <row r="20" ht="28" customHeight="1">
      <c r="A20" s="17" t="n">
        <v>16</v>
      </c>
      <c r="B20" s="17" t="inlineStr">
        <is>
          <t>จ่ายเงิน</t>
        </is>
      </c>
      <c r="C20" s="5" t="inlineStr">
        <is>
          <t>จ่ายย้อนหลังได้กี่วันโดยไม่ต้องขออนุมัติเพิ่ม</t>
        </is>
      </c>
      <c r="D20" s="31" t="inlineStr">
        <is>
          <t>7 วัน</t>
        </is>
      </c>
      <c r="E20" s="17" t="inlineStr">
        <is>
          <t>AC</t>
        </is>
      </c>
      <c r="F20" s="19" t="inlineStr"/>
      <c r="G20" s="23" t="inlineStr">
        <is>
          <t>รอตัดสินใจ</t>
        </is>
      </c>
      <c r="H20" s="23" t="inlineStr">
        <is>
          <t>กลาง</t>
        </is>
      </c>
    </row>
    <row r="21" ht="28" customHeight="1">
      <c r="A21" s="17" t="n">
        <v>17</v>
      </c>
      <c r="B21" s="17" t="inlineStr">
        <is>
          <t>จ่ายเงิน</t>
        </is>
      </c>
      <c r="C21" s="5" t="inlineStr">
        <is>
          <t>รายการบัญชีธนาคารที่ใช้จ่ายออก (ทำเป็นตัวเลือกแทนการพิมพ์)</t>
        </is>
      </c>
      <c r="D21" s="31" t="inlineStr">
        <is>
          <t>ยังไม่ทราบ</t>
        </is>
      </c>
      <c r="E21" s="17" t="inlineStr">
        <is>
          <t>AC</t>
        </is>
      </c>
      <c r="F21" s="19" t="inlineStr"/>
      <c r="G21" s="23" t="inlineStr">
        <is>
          <t>รอตัดสินใจ</t>
        </is>
      </c>
      <c r="H21" s="23" t="inlineStr">
        <is>
          <t>กลาง</t>
        </is>
      </c>
    </row>
    <row r="22" ht="28" customHeight="1">
      <c r="A22" s="17" t="n">
        <v>18</v>
      </c>
      <c r="B22" s="17" t="inlineStr">
        <is>
          <t>จ่ายเงิน</t>
        </is>
      </c>
      <c r="C22" s="5" t="inlineStr">
        <is>
          <t>ปัจจุบันใครส่งสลิปให้ผู้ขาย และจะให้ระบบส่งแทนได้เลยไหม</t>
        </is>
      </c>
      <c r="D22" s="31" t="inlineStr">
        <is>
          <t>ให้ระบบส่ง</t>
        </is>
      </c>
      <c r="E22" s="17" t="inlineStr">
        <is>
          <t>AC + SR</t>
        </is>
      </c>
      <c r="F22" s="19" t="inlineStr"/>
      <c r="G22" s="23" t="inlineStr">
        <is>
          <t>รอตัดสินใจ</t>
        </is>
      </c>
      <c r="H22" s="23" t="inlineStr">
        <is>
          <t>กลาง</t>
        </is>
      </c>
    </row>
    <row r="23" ht="28" customHeight="1">
      <c r="A23" s="17" t="n">
        <v>19</v>
      </c>
      <c r="B23" s="17" t="inlineStr">
        <is>
          <t>ตรวจสอบ</t>
        </is>
      </c>
      <c r="C23" s="5" t="inlineStr">
        <is>
          <t>เกณฑ์ส่วนต่างใบแจ้งหนี้ — เตือนที่ 2% บล็อกที่ 5%</t>
        </is>
      </c>
      <c r="D23" s="31" t="inlineStr">
        <is>
          <t>2% / 5%</t>
        </is>
      </c>
      <c r="E23" s="17" t="inlineStr">
        <is>
          <t>AC</t>
        </is>
      </c>
      <c r="F23" s="19" t="inlineStr"/>
      <c r="G23" s="23" t="inlineStr">
        <is>
          <t>รอตัดสินใจ</t>
        </is>
      </c>
      <c r="H23" s="23" t="inlineStr">
        <is>
          <t>สูง</t>
        </is>
      </c>
    </row>
    <row r="24" ht="28" customHeight="1">
      <c r="A24" s="17" t="n">
        <v>20</v>
      </c>
      <c r="B24" s="17" t="inlineStr">
        <is>
          <t>ขั้นตอนงาน</t>
        </is>
      </c>
      <c r="C24" s="5" t="inlineStr">
        <is>
          <t>SLA แต่ละขั้นตอนควรเป็นเท่าไหร่จริง (ดูแท็บ «ขั้นตอนงาน»)</t>
        </is>
      </c>
      <c r="D24" s="31" t="inlineStr">
        <is>
          <t>24–336 ชม.</t>
        </is>
      </c>
      <c r="E24" s="17" t="inlineStr">
        <is>
          <t>หัวหน้าทุกแผนก</t>
        </is>
      </c>
      <c r="F24" s="19" t="inlineStr"/>
      <c r="G24" s="23" t="inlineStr">
        <is>
          <t>รอตัดสินใจ</t>
        </is>
      </c>
      <c r="H24" s="23" t="inlineStr">
        <is>
          <t>สูง</t>
        </is>
      </c>
    </row>
    <row r="25" ht="28" customHeight="1">
      <c r="A25" s="17" t="n">
        <v>21</v>
      </c>
      <c r="B25" s="17" t="inlineStr">
        <is>
          <t>ขั้นตอนงาน</t>
        </is>
      </c>
      <c r="C25" s="5" t="inlineStr">
        <is>
          <t>flow 17 ขั้นตรงกับงานจริงไหม มีขั้นไหนหายหรือเกิน</t>
        </is>
      </c>
      <c r="D25" s="31" t="inlineStr">
        <is>
          <t>17 ขั้น</t>
        </is>
      </c>
      <c r="E25" s="17" t="inlineStr">
        <is>
          <t>หัวหน้าทุกแผนก</t>
        </is>
      </c>
      <c r="F25" s="19" t="inlineStr"/>
      <c r="G25" s="23" t="inlineStr">
        <is>
          <t>รอตัดสินใจ</t>
        </is>
      </c>
      <c r="H25" s="23" t="inlineStr">
        <is>
          <t>สูง</t>
        </is>
      </c>
    </row>
    <row r="26" ht="28" customHeight="1">
      <c r="A26" s="17" t="n">
        <v>22</v>
      </c>
      <c r="B26" s="17" t="inlineStr">
        <is>
          <t>ขั้นตอนงาน</t>
        </is>
      </c>
      <c r="C26" s="5" t="inlineStr">
        <is>
          <t>ใครควรอัพโหลดใบแจ้งหนี้ — SR (ผู้รับจากผู้ขาย) หรือ AC (ผู้ใช้เอกสาร)</t>
        </is>
      </c>
      <c r="D26" s="31" t="inlineStr">
        <is>
          <t>AC</t>
        </is>
      </c>
      <c r="E26" s="17" t="inlineStr">
        <is>
          <t>SR + AC</t>
        </is>
      </c>
      <c r="F26" s="19" t="inlineStr"/>
      <c r="G26" s="23" t="inlineStr">
        <is>
          <t>รอตัดสินใจ</t>
        </is>
      </c>
      <c r="H26" s="23" t="inlineStr">
        <is>
          <t>กลาง</t>
        </is>
      </c>
    </row>
    <row r="27" ht="28" customHeight="1">
      <c r="A27" s="17" t="n">
        <v>23</v>
      </c>
      <c r="B27" s="17" t="inlineStr">
        <is>
          <t>ขั้นตอนงาน</t>
        </is>
      </c>
      <c r="C27" s="5" t="inlineStr">
        <is>
          <t>ให้ผู้ขายส่งใบเสร็จตัวจริงถึง AC โดยตรงได้ไหม (ตัด SR ออกจริง)</t>
        </is>
      </c>
      <c r="D27" s="31" t="inlineStr">
        <is>
          <t>ส่งตรงถึง AC</t>
        </is>
      </c>
      <c r="E27" s="17" t="inlineStr">
        <is>
          <t>SR + AC</t>
        </is>
      </c>
      <c r="F27" s="19" t="inlineStr"/>
      <c r="G27" s="23" t="inlineStr">
        <is>
          <t>รอตัดสินใจ</t>
        </is>
      </c>
      <c r="H27" s="23" t="inlineStr">
        <is>
          <t>กลาง</t>
        </is>
      </c>
    </row>
    <row r="28" ht="28" customHeight="1">
      <c r="A28" s="17" t="n">
        <v>24</v>
      </c>
      <c r="B28" s="17" t="inlineStr">
        <is>
          <t>เอกสาร</t>
        </is>
      </c>
      <c r="C28" s="5" t="inlineStr">
        <is>
          <t>Pattern label ใช้กับสินค้ากลุ่มไหน ต้อง track ในระบบไหม</t>
        </is>
      </c>
      <c r="D28" s="31" t="inlineStr">
        <is>
          <t>ไม่บังคับ</t>
        </is>
      </c>
      <c r="E28" s="17" t="inlineStr">
        <is>
          <t>SR + QC</t>
        </is>
      </c>
      <c r="F28" s="19" t="inlineStr"/>
      <c r="G28" s="23" t="inlineStr">
        <is>
          <t>รอตัดสินใจ</t>
        </is>
      </c>
      <c r="H28" s="23" t="inlineStr">
        <is>
          <t>ต่ำ</t>
        </is>
      </c>
    </row>
    <row r="29" ht="28" customHeight="1">
      <c r="A29" s="17" t="n">
        <v>25</v>
      </c>
      <c r="B29" s="17" t="inlineStr">
        <is>
          <t>เอกสาร</t>
        </is>
      </c>
      <c r="C29" s="5" t="inlineStr">
        <is>
          <t>ตัด PO ที่ยังไม่เซ็นออกได้จริงไหม ไม่มีขั้นตอนไหนต้องใช้</t>
        </is>
      </c>
      <c r="D29" s="31" t="inlineStr">
        <is>
          <t>ตัดออก</t>
        </is>
      </c>
      <c r="E29" s="17" t="inlineStr">
        <is>
          <t>SR + AC</t>
        </is>
      </c>
      <c r="F29" s="19" t="inlineStr"/>
      <c r="G29" s="23" t="inlineStr">
        <is>
          <t>รอตัดสินใจ</t>
        </is>
      </c>
      <c r="H29" s="23" t="inlineStr">
        <is>
          <t>กลาง</t>
        </is>
      </c>
    </row>
    <row r="30" ht="28" customHeight="1">
      <c r="A30" s="17" t="n">
        <v>26</v>
      </c>
      <c r="B30" s="17" t="inlineStr">
        <is>
          <t>เอกสาร</t>
        </is>
      </c>
      <c r="C30" s="5" t="inlineStr">
        <is>
          <t>ฟิลด์จริงของ «ส่วนที่ 3» ในฟอร์ม QC-F006 (หน้า 2–3 เป็นภาพสแกน)</t>
        </is>
      </c>
      <c r="D30" s="31" t="inlineStr">
        <is>
          <t>อนุมานเอง</t>
        </is>
      </c>
      <c r="E30" s="17" t="inlineStr">
        <is>
          <t>QC</t>
        </is>
      </c>
      <c r="F30" s="19" t="inlineStr"/>
      <c r="G30" s="23" t="inlineStr">
        <is>
          <t>รอตัดสินใจ</t>
        </is>
      </c>
      <c r="H30" s="23" t="inlineStr">
        <is>
          <t>สูง</t>
        </is>
      </c>
    </row>
    <row r="31" ht="28" customHeight="1">
      <c r="A31" s="17" t="n">
        <v>27</v>
      </c>
      <c r="B31" s="17" t="inlineStr">
        <is>
          <t>เอกสาร</t>
        </is>
      </c>
      <c r="C31" s="5" t="inlineStr">
        <is>
          <t>ใบเคลมกับผู้ขาย ใช้ฟอร์มเดียวกับใบร้องเรียนลูกค้าหรือมีฟอร์มแยก</t>
        </is>
      </c>
      <c r="D31" s="31" t="inlineStr">
        <is>
          <t>ฟอร์มเดียวกัน</t>
        </is>
      </c>
      <c r="E31" s="17" t="inlineStr">
        <is>
          <t>QC + SR</t>
        </is>
      </c>
      <c r="F31" s="19" t="inlineStr"/>
      <c r="G31" s="23" t="inlineStr">
        <is>
          <t>รอตัดสินใจ</t>
        </is>
      </c>
      <c r="H31" s="23" t="inlineStr">
        <is>
          <t>กลาง</t>
        </is>
      </c>
    </row>
    <row r="32" ht="28" customHeight="1">
      <c r="A32" s="17" t="n">
        <v>28</v>
      </c>
      <c r="B32" s="17" t="inlineStr">
        <is>
          <t>เอกสาร</t>
        </is>
      </c>
      <c r="C32" s="5" t="inlineStr">
        <is>
          <t>INSPECTION REPORT มีเลขที่เอกสารควบคุมไหม</t>
        </is>
      </c>
      <c r="D32" s="31" t="inlineStr">
        <is>
          <t>ยังไม่ทราบ</t>
        </is>
      </c>
      <c r="E32" s="17" t="inlineStr">
        <is>
          <t>QC</t>
        </is>
      </c>
      <c r="F32" s="19" t="inlineStr"/>
      <c r="G32" s="23" t="inlineStr">
        <is>
          <t>รอตัดสินใจ</t>
        </is>
      </c>
      <c r="H32" s="23" t="inlineStr">
        <is>
          <t>ต่ำ</t>
        </is>
      </c>
    </row>
    <row r="33" ht="28" customHeight="1">
      <c r="A33" s="17" t="n">
        <v>29</v>
      </c>
      <c r="B33" s="17" t="inlineStr">
        <is>
          <t>เอกสาร</t>
        </is>
      </c>
      <c r="C33" s="5" t="inlineStr">
        <is>
          <t>ใบขอเปิดรหัสสินค้ามีฟอร์มควบคุมเดิมอยู่แล้วหรือเขียนอิสระ</t>
        </is>
      </c>
      <c r="D33" s="31" t="inlineStr">
        <is>
          <t>ยังไม่ทราบ</t>
        </is>
      </c>
      <c r="E33" s="17" t="inlineStr">
        <is>
          <t>SR + LS</t>
        </is>
      </c>
      <c r="F33" s="19" t="inlineStr"/>
      <c r="G33" s="23" t="inlineStr">
        <is>
          <t>รอตัดสินใจ</t>
        </is>
      </c>
      <c r="H33" s="23" t="inlineStr">
        <is>
          <t>ต่ำ</t>
        </is>
      </c>
    </row>
    <row r="34" ht="28" customHeight="1">
      <c r="A34" s="17" t="n">
        <v>30</v>
      </c>
      <c r="B34" s="17" t="inlineStr">
        <is>
          <t>เอกสาร</t>
        </is>
      </c>
      <c r="C34" s="5" t="inlineStr">
        <is>
          <t>นโยบายเก็บเอกสารกี่ปี และใช้กับทุกประเภทเอกสารหรือไม่</t>
        </is>
      </c>
      <c r="D34" s="31" t="inlineStr">
        <is>
          <t>5 ปี</t>
        </is>
      </c>
      <c r="E34" s="17" t="inlineStr">
        <is>
          <t>AC + ที่ปรึกษากฎหมาย</t>
        </is>
      </c>
      <c r="F34" s="19" t="inlineStr"/>
      <c r="G34" s="23" t="inlineStr">
        <is>
          <t>รอตัดสินใจ</t>
        </is>
      </c>
      <c r="H34" s="23" t="inlineStr">
        <is>
          <t>กลาง</t>
        </is>
      </c>
    </row>
    <row r="35" ht="28" customHeight="1">
      <c r="A35" s="17" t="n">
        <v>31</v>
      </c>
      <c r="B35" s="17" t="inlineStr">
        <is>
          <t>แจ้งเตือน</t>
        </is>
      </c>
      <c r="C35" s="5" t="inlineStr">
        <is>
          <t>lark_user_id ของพนักงานทุกคน</t>
        </is>
      </c>
      <c r="D35" s="31" t="inlineStr">
        <is>
          <t>ยังไม่มี</t>
        </is>
      </c>
      <c r="E35" s="17" t="inlineStr">
        <is>
          <t>IT + HR</t>
        </is>
      </c>
      <c r="F35" s="19" t="inlineStr"/>
      <c r="G35" s="23" t="inlineStr">
        <is>
          <t>รอตัดสินใจ</t>
        </is>
      </c>
      <c r="H35" s="23" t="inlineStr">
        <is>
          <t>สูง</t>
        </is>
      </c>
    </row>
    <row r="36" ht="28" customHeight="1">
      <c r="A36" s="17" t="n">
        <v>32</v>
      </c>
      <c r="B36" s="17" t="inlineStr">
        <is>
          <t>แจ้งเตือน</t>
        </is>
      </c>
      <c r="C36" s="5" t="inlineStr">
        <is>
          <t>กลุ่ม Lark เดิม 3 กลุ่ม จะให้เหลือกลุ่มไหนรับแจ้งเตือนจากระบบ</t>
        </is>
      </c>
      <c r="D36" s="31" t="inlineStr">
        <is>
          <t>ยังไม่ทราบ</t>
        </is>
      </c>
      <c r="E36" s="17" t="inlineStr">
        <is>
          <t>หัวหน้าทุกแผนก</t>
        </is>
      </c>
      <c r="F36" s="19" t="inlineStr"/>
      <c r="G36" s="23" t="inlineStr">
        <is>
          <t>รอตัดสินใจ</t>
        </is>
      </c>
      <c r="H36" s="23" t="inlineStr">
        <is>
          <t>กลาง</t>
        </is>
      </c>
    </row>
    <row r="37" ht="28" customHeight="1">
      <c r="A37" s="17" t="n">
        <v>33</v>
      </c>
      <c r="B37" s="17" t="inlineStr">
        <is>
          <t>แจ้งเตือน</t>
        </is>
      </c>
      <c r="C37" s="5" t="inlineStr">
        <is>
          <t>เวลาเงียบ 20:00–07:00 เหมาะสมไหม</t>
        </is>
      </c>
      <c r="D37" s="31" t="inlineStr">
        <is>
          <t>20:00–07:00</t>
        </is>
      </c>
      <c r="E37" s="17" t="inlineStr">
        <is>
          <t>หัวหน้าทุกแผนก</t>
        </is>
      </c>
      <c r="F37" s="19" t="inlineStr"/>
      <c r="G37" s="23" t="inlineStr">
        <is>
          <t>รอตัดสินใจ</t>
        </is>
      </c>
      <c r="H37" s="23" t="inlineStr">
        <is>
          <t>ต่ำ</t>
        </is>
      </c>
    </row>
    <row r="38" ht="28" customHeight="1">
      <c r="A38" s="17" t="n">
        <v>34</v>
      </c>
      <c r="B38" s="17" t="inlineStr">
        <is>
          <t>ผู้ใช้/สิทธิ์</t>
        </is>
      </c>
      <c r="C38" s="5" t="inlineStr">
        <is>
          <t>ใครคือแอดมินระบบ (ต้องไม่อยู่ในสายอนุมัติ)</t>
        </is>
      </c>
      <c r="D38" s="31" t="inlineStr">
        <is>
          <t>ยังไม่ทราบ</t>
        </is>
      </c>
      <c r="E38" s="17" t="inlineStr">
        <is>
          <t>ผู้บริหาร</t>
        </is>
      </c>
      <c r="F38" s="19" t="inlineStr"/>
      <c r="G38" s="23" t="inlineStr">
        <is>
          <t>รอตัดสินใจ</t>
        </is>
      </c>
      <c r="H38" s="23" t="inlineStr">
        <is>
          <t>สูง</t>
        </is>
      </c>
    </row>
    <row r="39" ht="28" customHeight="1">
      <c r="A39" s="17" t="n">
        <v>35</v>
      </c>
      <c r="B39" s="17" t="inlineStr">
        <is>
          <t>ผู้ใช้/สิทธิ์</t>
        </is>
      </c>
      <c r="C39" s="5" t="inlineStr">
        <is>
          <t>ใครรับเรื่องบั๊ก และ SLA รับเรื่องกี่ชั่วโมง</t>
        </is>
      </c>
      <c r="D39" s="31" t="inlineStr">
        <is>
          <t>8 ชม.ทำการ</t>
        </is>
      </c>
      <c r="E39" s="17" t="inlineStr">
        <is>
          <t>IT</t>
        </is>
      </c>
      <c r="F39" s="19" t="inlineStr"/>
      <c r="G39" s="23" t="inlineStr">
        <is>
          <t>รอตัดสินใจ</t>
        </is>
      </c>
      <c r="H39" s="23" t="inlineStr">
        <is>
          <t>กลาง</t>
        </is>
      </c>
    </row>
    <row r="40" ht="28" customHeight="1">
      <c r="A40" s="17" t="n">
        <v>36</v>
      </c>
      <c r="B40" s="17" t="inlineStr">
        <is>
          <t>ผู้ใช้/สิทธิ์</t>
        </is>
      </c>
      <c r="C40" s="5" t="inlineStr">
        <is>
          <t>ตารางสิทธิ์ในแท็บ «สิทธิ์แต่ละแผนก» ตรงกับงานจริงไหม</t>
        </is>
      </c>
      <c r="D40" s="31" t="inlineStr">
        <is>
          <t>ตามที่ร่างไว้</t>
        </is>
      </c>
      <c r="E40" s="17" t="inlineStr">
        <is>
          <t>หัวหน้าทุกแผนก</t>
        </is>
      </c>
      <c r="F40" s="19" t="inlineStr"/>
      <c r="G40" s="23" t="inlineStr">
        <is>
          <t>รอตัดสินใจ</t>
        </is>
      </c>
      <c r="H40" s="23" t="inlineStr">
        <is>
          <t>สูง</t>
        </is>
      </c>
    </row>
    <row r="41" ht="28" customHeight="1">
      <c r="A41" s="17" t="n">
        <v>37</v>
      </c>
      <c r="B41" s="17" t="inlineStr">
        <is>
          <t>ขอบเขต</t>
        </is>
      </c>
      <c r="C41" s="5" t="inlineStr">
        <is>
          <t>จะย้ายการเซ็นออกจาก Dochub จริงไหม หรือคงไว้สำหรับเอกสารภายนอก</t>
        </is>
      </c>
      <c r="D41" s="31" t="inlineStr">
        <is>
          <t>คง Dochub เฉพาะ PO ที่ผู้ขายเซ็น</t>
        </is>
      </c>
      <c r="E41" s="17" t="inlineStr">
        <is>
          <t>ผู้บริหาร + AC</t>
        </is>
      </c>
      <c r="F41" s="19" t="inlineStr"/>
      <c r="G41" s="23" t="inlineStr">
        <is>
          <t>รอตัดสินใจ</t>
        </is>
      </c>
      <c r="H41" s="23" t="inlineStr">
        <is>
          <t>สูง</t>
        </is>
      </c>
    </row>
    <row r="42" ht="28" customHeight="1">
      <c r="A42" s="17" t="n">
        <v>38</v>
      </c>
      <c r="B42" s="17" t="inlineStr">
        <is>
          <t>ขอบเขต</t>
        </is>
      </c>
      <c r="C42" s="5" t="inlineStr">
        <is>
          <t>เริ่มที่งานซื้อในประเทศ (อาหาร) ก่อนแล้วค่อยขยาย ใช่ไหม</t>
        </is>
      </c>
      <c r="D42" s="31" t="inlineStr">
        <is>
          <t>ใช่</t>
        </is>
      </c>
      <c r="E42" s="17" t="inlineStr">
        <is>
          <t>ผู้บริหาร</t>
        </is>
      </c>
      <c r="F42" s="19" t="inlineStr"/>
      <c r="G42" s="23" t="inlineStr">
        <is>
          <t>รอตัดสินใจ</t>
        </is>
      </c>
      <c r="H42" s="23" t="inlineStr">
        <is>
          <t>กลาง</t>
        </is>
      </c>
    </row>
    <row r="43" ht="28" customHeight="1">
      <c r="A43" s="17" t="n">
        <v>39</v>
      </c>
      <c r="B43" s="17" t="inlineStr">
        <is>
          <t>ขอบเขต</t>
        </is>
      </c>
      <c r="C43" s="5" t="inlineStr">
        <is>
          <t>ใครเป็นเจ้าของระบบหลังใช้งานจริง (ดูแลผู้ใช้ สิทธิ์ SLA)</t>
        </is>
      </c>
      <c r="D43" s="31" t="inlineStr">
        <is>
          <t>ยังไม่ทราบ</t>
        </is>
      </c>
      <c r="E43" s="17" t="inlineStr">
        <is>
          <t>ผู้บริหาร</t>
        </is>
      </c>
      <c r="F43" s="19" t="inlineStr"/>
      <c r="G43" s="23" t="inlineStr">
        <is>
          <t>รอตัดสินใจ</t>
        </is>
      </c>
      <c r="H43" s="23" t="inlineStr">
        <is>
          <t>สูง</t>
        </is>
      </c>
    </row>
    <row r="44" ht="28" customHeight="1">
      <c r="A44" s="17" t="n">
        <v>40</v>
      </c>
      <c r="B44" s="17" t="inlineStr">
        <is>
          <t>ทดลองใช้</t>
        </is>
      </c>
      <c r="C44" s="5" t="inlineStr">
        <is>
          <t>ผลทดลองใช้ 15 นาทีจากแต่ละแผนก (ใช้แบบทดสอบในเอกสาร 10)</t>
        </is>
      </c>
      <c r="D44" s="31" t="inlineStr">
        <is>
          <t>ยังไม่ได้ทำ</t>
        </is>
      </c>
      <c r="E44" s="17" t="inlineStr">
        <is>
          <t>หัวหน้าทุกแผนก</t>
        </is>
      </c>
      <c r="F44" s="19" t="inlineStr"/>
      <c r="G44" s="23" t="inlineStr">
        <is>
          <t>รอตัดสินใจ</t>
        </is>
      </c>
      <c r="H44" s="23" t="inlineStr">
        <is>
          <t>สูง</t>
        </is>
      </c>
    </row>
    <row r="45" ht="28" customHeight="1">
      <c r="A45" s="17" t="n">
        <v>41</v>
      </c>
      <c r="B45" s="17" t="inlineStr">
        <is>
          <t>โครงสร้าง</t>
        </is>
      </c>
      <c r="C45" s="5" t="inlineStr">
        <is>
          <t>ตาราง Price_Requests / Quotations ที่เพิ่งเพิ่ม ตรงกับวิธีขอราคาจริงไหม</t>
        </is>
      </c>
      <c r="D45" s="31" t="inlineStr">
        <is>
          <t>ตามที่ร่างไว้</t>
        </is>
      </c>
      <c r="E45" s="17" t="inlineStr">
        <is>
          <t>SR</t>
        </is>
      </c>
      <c r="F45" s="19" t="inlineStr"/>
      <c r="G45" s="23" t="inlineStr">
        <is>
          <t>รอตัดสินใจ</t>
        </is>
      </c>
      <c r="H45" s="23" t="inlineStr">
        <is>
          <t>สูง</t>
        </is>
      </c>
    </row>
    <row r="47">
      <c r="B47" s="10" t="inlineStr">
        <is>
          <t>รวมประเด็นทั้งหมด</t>
        </is>
      </c>
      <c r="C47" s="13" t="n"/>
      <c r="D47" s="25">
        <f>COUNTA(C5:C45)</f>
        <v/>
      </c>
    </row>
    <row r="48">
      <c r="B48" s="10" t="inlineStr">
        <is>
          <t>รอตัดสินใจ</t>
        </is>
      </c>
      <c r="C48" s="13" t="n"/>
      <c r="D48" s="25">
        <f>COUNTIF(G5:G45,"รอตัดสินใจ")</f>
        <v/>
      </c>
    </row>
    <row r="49">
      <c r="B49" s="10" t="inlineStr">
        <is>
          <t>ตัดสินใจแล้ว</t>
        </is>
      </c>
      <c r="C49" s="13" t="n"/>
      <c r="D49" s="25">
        <f>COUNTIF(G5:G45,"ตัดสินใจแล้ว")</f>
        <v/>
      </c>
    </row>
    <row r="50">
      <c r="B50" s="10" t="inlineStr">
        <is>
          <t>ความสำคัญสูง ที่ยังรอตัดสินใจ</t>
        </is>
      </c>
      <c r="C50" s="13" t="n"/>
      <c r="D50" s="25">
        <f>COUNTIFS(H5:H45,"สูง",G5:G45,"รอตัดสินใจ")</f>
        <v/>
      </c>
    </row>
    <row r="52" ht="32" customHeight="1">
      <c r="B52" s="14" t="inlineStr">
        <is>
          <t>ทุกค่าในคอลัมน์ «ค่าที่ผมตั้งไว้ก่อน» เป็นค่าที่ผมเลือกเองเพื่อให้ระบบเดินได้ ไม่ได้มาจากนโยบายของบริษัท — ถ้าไม่แก้ ระบบจะใช้ค่าเหล่านี้จริงตอนขึ้นใช้งาน</t>
        </is>
      </c>
      <c r="C52" s="12" t="n"/>
      <c r="D52" s="12" t="n"/>
      <c r="E52" s="12" t="n"/>
      <c r="F52" s="12" t="n"/>
      <c r="G52" s="12" t="n"/>
      <c r="H52" s="13" t="n"/>
    </row>
  </sheetData>
  <autoFilter ref="A4:H45"/>
  <mergeCells count="7">
    <mergeCell ref="B47:C47"/>
    <mergeCell ref="B48:C48"/>
    <mergeCell ref="B52:H52"/>
    <mergeCell ref="A2:H2"/>
    <mergeCell ref="B50:C50"/>
    <mergeCell ref="A1:H1"/>
    <mergeCell ref="B49:C49"/>
  </mergeCells>
  <dataValidations count="2">
    <dataValidation sqref="G5:G45" showDropDown="0" showInputMessage="0" showErrorMessage="0" allowBlank="1" type="list">
      <formula1>'รายการเลือก (ระบบ)'!$I$2:$I$4</formula1>
    </dataValidation>
    <dataValidation sqref="H5:H45" showDropDown="0" showInputMessage="0" showErrorMessage="0" allowBlank="1" type="list">
      <formula1>'รายการเลือก (ระบบ)'!$J$2:$J$4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2026-08-08T14:27:36Z</dcterms:created>
  <dcterms:modified xsi:type="dcterms:W3CDTF">2026-08-08T14:27:37Z</dcterms:modified>
</cp:coreProperties>
</file>